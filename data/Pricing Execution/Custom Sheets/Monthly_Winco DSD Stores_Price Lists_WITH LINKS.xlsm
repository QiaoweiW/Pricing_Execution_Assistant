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arigold1com-my.sharepoint.com/personal/qiwang_internal_darigold_com/Documents/Desktop/Developer Projects/Pricing_Execution_Agent_Clean_Start/Pricing_Execution_Agent/data/Pricing Execution/Custom Sheets/"/>
    </mc:Choice>
  </mc:AlternateContent>
  <xr:revisionPtr revIDLastSave="38" documentId="8_{93647430-E189-4AFF-9A47-56A08258715E}" xr6:coauthVersionLast="47" xr6:coauthVersionMax="47" xr10:uidLastSave="{ACF11A55-A685-4DD0-BD3F-236569F98B52}"/>
  <bookViews>
    <workbookView xWindow="-110" yWindow="-110" windowWidth="19420" windowHeight="10300" xr2:uid="{C8B5A469-E2B2-450A-9E75-04ECAA905431}"/>
  </bookViews>
  <sheets>
    <sheet name="Winco DSD" sheetId="1" r:id="rId1"/>
    <sheet name="REMOVE IN FINAL SHARE-OUT" sheetId="2" r:id="rId2"/>
  </sheets>
  <functionGroups builtInGroupCount="19"/>
  <definedNames>
    <definedName name="_xlnm._FilterDatabase" localSheetId="1" hidden="1">'REMOVE IN FINAL SHARE-OUT'!$A$1:$U$3773</definedName>
    <definedName name="_xlnm._FilterDatabase" localSheetId="0" hidden="1">'Winco DSD'!$B$13:$O$36</definedName>
    <definedName name="_FYR4">#REF!</definedName>
    <definedName name="bin">#REF!</definedName>
    <definedName name="Cost_Keyed">#REF!</definedName>
    <definedName name="CTS">#REF!</definedName>
    <definedName name="dddd">#REF!</definedName>
    <definedName name="Department">#REF!</definedName>
    <definedName name="EV__LASTREFTIME__" hidden="1">41919.627650463</definedName>
    <definedName name="fxgnfgn" hidden="1">40077.4016666667</definedName>
    <definedName name="g">#REF!</definedName>
    <definedName name="hi">#REF!</definedName>
    <definedName name="HTML_CodePage" hidden="1">1252</definedName>
    <definedName name="HTML_Control" localSheetId="0" hidden="1">{"'wsr'!$A$1:$V$156","'wsr'!$A$12:$Q$114"}</definedName>
    <definedName name="HTML_Control" hidden="1">{"'wsr'!$A$1:$V$156","'wsr'!$A$12:$Q$114"}</definedName>
    <definedName name="HTML_Description" hidden="1">""</definedName>
    <definedName name="HTML_Email" hidden="1">""</definedName>
    <definedName name="HTML_Header" hidden="1">"wsr"</definedName>
    <definedName name="HTML_LastUpdate" hidden="1">"3/16/98"</definedName>
    <definedName name="HTML_LineAfter" hidden="1">FALSE</definedName>
    <definedName name="HTML_LineBefore" hidden="1">FALSE</definedName>
    <definedName name="HTML_Name" hidden="1">"Robert Mouton"</definedName>
    <definedName name="HTML_OBDlg2" hidden="1">TRUE</definedName>
    <definedName name="HTML_OBDlg4" hidden="1">TRUE</definedName>
    <definedName name="HTML_OS" hidden="1">0</definedName>
    <definedName name="HTML_PathFile" hidden="1">"C:\My Documents\wsr\MyHTML.htm"</definedName>
    <definedName name="HTML_Title" hidden="1">"wsr2498"</definedName>
    <definedName name="kl">#REF!</definedName>
    <definedName name="l">#REF!</definedName>
    <definedName name="low">#REF!</definedName>
    <definedName name="lowtier">#REF!</definedName>
    <definedName name="MEWarning" hidden="1">1</definedName>
    <definedName name="NvsASD">"V2003-01-19"</definedName>
    <definedName name="NvsAutoDrillOk">"VN"</definedName>
    <definedName name="NvsElapsedTime">0.000844907408463769</definedName>
    <definedName name="NvsEndTime">39162.6450578704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"%,X,RPT.PRODUCT.,CZF.."</definedName>
    <definedName name="NvsPanelBusUnit">"V"</definedName>
    <definedName name="NvsPanelEffdt">"V1900-01-01"</definedName>
    <definedName name="NvsPanelSetid">"VWHOLE"</definedName>
    <definedName name="NvsReqBU">"V50001"</definedName>
    <definedName name="NvsReqBUOnly">"VN"</definedName>
    <definedName name="NvsTransLed">"VY"</definedName>
    <definedName name="NvsTreeASD">"V2003-01-19"</definedName>
    <definedName name="NvsValTbl.ACCOUNT">"GL_ACCOUNT_TBL"</definedName>
    <definedName name="NvsValTbl.DEPTID">"DEPARTMENT_TBL"</definedName>
    <definedName name="NvsValTbl.PRODUCT">"PRODUCT_TBL"</definedName>
    <definedName name="opex">#REF!</definedName>
    <definedName name="Pallet">#REF!</definedName>
    <definedName name="PER">#REF!</definedName>
    <definedName name="threshold">#REF!</definedName>
    <definedName name="USDAGRADES2">#REF!</definedName>
    <definedName name="WksYear">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1" l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20" i="1"/>
  <c r="P36" i="1" l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K21" i="1" l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20" i="1" l="1"/>
</calcChain>
</file>

<file path=xl/sharedStrings.xml><?xml version="1.0" encoding="utf-8"?>
<sst xmlns="http://schemas.openxmlformats.org/spreadsheetml/2006/main" count="1280" uniqueCount="110">
  <si>
    <t>DSD Price Change Notification</t>
  </si>
  <si>
    <r>
      <t xml:space="preserve">(check those that apply)              </t>
    </r>
    <r>
      <rPr>
        <b/>
        <sz val="9"/>
        <rFont val="Tahoma"/>
        <family val="2"/>
      </rPr>
      <t>X</t>
    </r>
  </si>
  <si>
    <t>x</t>
  </si>
  <si>
    <t>Incl/Excl</t>
  </si>
  <si>
    <t>All Stores</t>
  </si>
  <si>
    <t xml:space="preserve"> </t>
  </si>
  <si>
    <t>Central California</t>
  </si>
  <si>
    <t>Western Washington</t>
  </si>
  <si>
    <t>Southern California</t>
  </si>
  <si>
    <t>Oregon</t>
  </si>
  <si>
    <t>Southern NV / Arizona</t>
  </si>
  <si>
    <t>Eastern Washington / Northern ID</t>
  </si>
  <si>
    <t>X</t>
  </si>
  <si>
    <t>Texas / Oklahoma</t>
  </si>
  <si>
    <t>Southwestern Idaho / Ontario</t>
  </si>
  <si>
    <t xml:space="preserve">List Individual Stores below             </t>
  </si>
  <si>
    <t>Eastern Idaho / Utah</t>
  </si>
  <si>
    <t>2, 29, 45, 68, 70, 101, 111, 128, 141, 164</t>
  </si>
  <si>
    <t>Northern California / Northern NV</t>
  </si>
  <si>
    <t xml:space="preserve">Vendor Name: </t>
  </si>
  <si>
    <t>Darigold</t>
  </si>
  <si>
    <t>Vendor Signature</t>
  </si>
  <si>
    <t>Vendor #:</t>
  </si>
  <si>
    <t>Effective Date:</t>
  </si>
  <si>
    <t>Example(3/14/2019)</t>
  </si>
  <si>
    <t>Item</t>
  </si>
  <si>
    <t>Price List</t>
  </si>
  <si>
    <t>Pack</t>
  </si>
  <si>
    <t>Pricing UOM</t>
  </si>
  <si>
    <t>Price $/Unit</t>
  </si>
  <si>
    <t>WinCo Item Code</t>
  </si>
  <si>
    <t>Item UPC</t>
  </si>
  <si>
    <t>Brand / Description</t>
  </si>
  <si>
    <t>Old Cost</t>
  </si>
  <si>
    <t>New Cost</t>
  </si>
  <si>
    <t xml:space="preserve"> + or - Change $0.000</t>
  </si>
  <si>
    <t>26400-40776</t>
  </si>
  <si>
    <t>DG Bmilk Pl Hg 6pk Plastic Half Gallon</t>
  </si>
  <si>
    <t>CA</t>
  </si>
  <si>
    <t>&lt;for Winco's Input&gt;</t>
  </si>
  <si>
    <t>DG Bmilk Bulgarian 3.5pc HG</t>
  </si>
  <si>
    <t>26400-31070</t>
  </si>
  <si>
    <t>DG Choc 1pc HW Gal Gallon</t>
  </si>
  <si>
    <t>26400-40789</t>
  </si>
  <si>
    <t>DG Choc 1pc Pl Hg Plastic Half Gallon</t>
  </si>
  <si>
    <t>70552-40604</t>
  </si>
  <si>
    <t>Winco Homo Pl Hg Plastic Half Gallon</t>
  </si>
  <si>
    <t>70552-40605</t>
  </si>
  <si>
    <t>Winco 2pc Pl Hg Plastic Half Gallon</t>
  </si>
  <si>
    <t>70552-40606</t>
  </si>
  <si>
    <t>Winco 1pc Pl Hg Plastic Half Gallon</t>
  </si>
  <si>
    <t>70552-40607</t>
  </si>
  <si>
    <t>Winco FF Pl Hg Plastic Half Gallon</t>
  </si>
  <si>
    <t>70552-40600</t>
  </si>
  <si>
    <t>Winco Homo Gal Bossy Gallon</t>
  </si>
  <si>
    <t>BC</t>
  </si>
  <si>
    <t>70552-40601</t>
  </si>
  <si>
    <t>Winco 2pc Gal Bossy Gallon</t>
  </si>
  <si>
    <t>70552-40602</t>
  </si>
  <si>
    <t>Winco 1pc Gal Bossy Gallon</t>
  </si>
  <si>
    <t>70552-40603</t>
  </si>
  <si>
    <t>Winco FF Gal Bossy Gallon</t>
  </si>
  <si>
    <t>70552-40617</t>
  </si>
  <si>
    <t>WIN Choc 1pc Hg HTST Plastic Half Gallon</t>
  </si>
  <si>
    <t>70552-40616</t>
  </si>
  <si>
    <t>WIN Choc 1pc Gal HTST Gallon</t>
  </si>
  <si>
    <t xml:space="preserve"> 26400-27530 </t>
  </si>
  <si>
    <t>DARIGOLD HOMO JUG BOSSY</t>
  </si>
  <si>
    <t>DARIGOLD 2% JUG BOSSY</t>
  </si>
  <si>
    <t>DARIGOLD 1% JUG BOSSY</t>
  </si>
  <si>
    <t>TERMS</t>
  </si>
  <si>
    <t>CASH DISCOUNT:</t>
  </si>
  <si>
    <t>%</t>
  </si>
  <si>
    <t>Days</t>
  </si>
  <si>
    <t>Page 1 of 3</t>
  </si>
  <si>
    <t>Revised 4/20/2020</t>
  </si>
  <si>
    <t>Chargestartdate</t>
  </si>
  <si>
    <t>Chargeenddate</t>
  </si>
  <si>
    <t>Customername</t>
  </si>
  <si>
    <t>Customernumber</t>
  </si>
  <si>
    <t>Shiptositename</t>
  </si>
  <si>
    <t>Customersitenumber</t>
  </si>
  <si>
    <t>Adjustmenttype</t>
  </si>
  <si>
    <t>Adjustmentamount</t>
  </si>
  <si>
    <t>Adjustmentbasis</t>
  </si>
  <si>
    <t>Precedence</t>
  </si>
  <si>
    <t>Market</t>
  </si>
  <si>
    <t>Age</t>
  </si>
  <si>
    <t>Spec</t>
  </si>
  <si>
    <t>Grade</t>
  </si>
  <si>
    <t>Adjustmentstartdate</t>
  </si>
  <si>
    <t>Adjustmentenddate</t>
  </si>
  <si>
    <t>Status</t>
  </si>
  <si>
    <t>26400-42123</t>
  </si>
  <si>
    <t>Pricelistname</t>
  </si>
  <si>
    <t>Pricinguom</t>
  </si>
  <si>
    <t>Baselineprice</t>
  </si>
  <si>
    <t>Item_Name</t>
  </si>
  <si>
    <t>CP_Market Price</t>
  </si>
  <si>
    <t>EA</t>
  </si>
  <si>
    <t>Winco Foods DSD</t>
  </si>
  <si>
    <t>WINCO 002 KENNEWICK DSD</t>
  </si>
  <si>
    <t>MARKUP_AMOUNT</t>
  </si>
  <si>
    <t>CLASS I - PNW MONTH</t>
  </si>
  <si>
    <t>N</t>
  </si>
  <si>
    <t>CLASS II 2 MONTH LAG</t>
  </si>
  <si>
    <t>ST</t>
  </si>
  <si>
    <t>PL</t>
  </si>
  <si>
    <t xml:space="preserve"> 26400-28930</t>
  </si>
  <si>
    <t xml:space="preserve"> 26400-29862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</si>
</sst>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[$-409]mmmm\ d\,\ yyyy;@"/>
    <numFmt numFmtId="165" formatCode="&quot;$&quot;#,##0.00"/>
    <numFmt numFmtId="166" formatCode="&quot;$&quot;#,##0.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21.5"/>
      <name val="Verdana"/>
      <family val="2"/>
    </font>
    <font>
      <b/>
      <sz val="16.5"/>
      <name val="Tahoma"/>
      <family val="2"/>
    </font>
    <font>
      <sz val="11"/>
      <name val="Tahoma"/>
      <family val="2"/>
    </font>
    <font>
      <b/>
      <sz val="7.5"/>
      <name val="Tahoma"/>
      <family val="2"/>
    </font>
    <font>
      <b/>
      <sz val="9"/>
      <name val="Tahoma"/>
      <family val="2"/>
    </font>
    <font>
      <sz val="10"/>
      <name val="Tahoma"/>
      <family val="2"/>
    </font>
    <font>
      <b/>
      <sz val="14"/>
      <color theme="0"/>
      <name val="Tahoma"/>
      <family val="2"/>
    </font>
    <font>
      <sz val="10"/>
      <name val="Arial"/>
      <family val="2"/>
    </font>
    <font>
      <b/>
      <sz val="10"/>
      <name val="Tahoma"/>
      <family val="2"/>
    </font>
    <font>
      <sz val="9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3"/>
      <name val="Script MT Bold"/>
      <family val="4"/>
    </font>
    <font>
      <b/>
      <sz val="11"/>
      <name val="Tahoma"/>
      <family val="2"/>
    </font>
    <font>
      <b/>
      <sz val="13.5"/>
      <name val="Arial"/>
      <family val="2"/>
    </font>
    <font>
      <b/>
      <sz val="8.5"/>
      <name val="Tahoma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8"/>
      <name val="Times New Roman"/>
      <family val="1"/>
    </font>
    <font>
      <sz val="10"/>
      <color rgb="FFFFFFFF"/>
      <name val="Arial"/>
      <family val="2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10" fillId="2" borderId="1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10" fillId="0" borderId="3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1" fillId="0" borderId="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top"/>
    </xf>
    <xf numFmtId="0" fontId="14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18" fillId="0" borderId="3" xfId="0" applyFont="1" applyBorder="1" applyAlignment="1">
      <alignment horizontal="center" wrapText="1"/>
    </xf>
    <xf numFmtId="0" fontId="18" fillId="2" borderId="3" xfId="0" applyFont="1" applyFill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20" fillId="2" borderId="3" xfId="0" applyFont="1" applyFill="1" applyBorder="1" applyAlignment="1">
      <alignment horizontal="center" vertical="center"/>
    </xf>
    <xf numFmtId="1" fontId="20" fillId="2" borderId="3" xfId="0" applyNumberFormat="1" applyFont="1" applyFill="1" applyBorder="1" applyAlignment="1">
      <alignment horizontal="center" vertical="center"/>
    </xf>
    <xf numFmtId="165" fontId="21" fillId="2" borderId="1" xfId="0" applyNumberFormat="1" applyFont="1" applyFill="1" applyBorder="1" applyAlignment="1">
      <alignment horizontal="center" vertical="center"/>
    </xf>
    <xf numFmtId="0" fontId="22" fillId="2" borderId="0" xfId="0" applyFont="1" applyFill="1"/>
    <xf numFmtId="43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1" fontId="20" fillId="0" borderId="3" xfId="0" applyNumberFormat="1" applyFont="1" applyBorder="1" applyAlignment="1">
      <alignment horizontal="center" vertical="center"/>
    </xf>
    <xf numFmtId="165" fontId="21" fillId="0" borderId="1" xfId="0" applyNumberFormat="1" applyFont="1" applyBorder="1" applyAlignment="1">
      <alignment horizontal="center" vertical="center"/>
    </xf>
    <xf numFmtId="0" fontId="23" fillId="2" borderId="0" xfId="0" applyFont="1" applyFill="1" applyAlignment="1">
      <alignment vertical="center" wrapText="1"/>
    </xf>
    <xf numFmtId="165" fontId="20" fillId="0" borderId="3" xfId="0" applyNumberFormat="1" applyFont="1" applyBorder="1" applyAlignment="1">
      <alignment horizontal="center" vertical="center"/>
    </xf>
    <xf numFmtId="166" fontId="20" fillId="2" borderId="3" xfId="0" applyNumberFormat="1" applyFont="1" applyFill="1" applyBorder="1" applyAlignment="1">
      <alignment horizontal="center" vertical="center"/>
    </xf>
    <xf numFmtId="166" fontId="21" fillId="2" borderId="3" xfId="0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vertical="center"/>
    </xf>
    <xf numFmtId="0" fontId="7" fillId="3" borderId="6" xfId="0" applyFont="1" applyFill="1" applyBorder="1" applyAlignment="1">
      <alignment horizontal="right" vertical="center" wrapText="1"/>
    </xf>
    <xf numFmtId="0" fontId="9" fillId="2" borderId="0" xfId="0" applyFont="1" applyFill="1" applyAlignment="1">
      <alignment horizontal="left" vertical="center" wrapText="1"/>
    </xf>
    <xf numFmtId="0" fontId="7" fillId="3" borderId="6" xfId="0" applyFont="1" applyFill="1" applyBorder="1" applyAlignment="1">
      <alignment horizontal="right" vertical="center" wrapText="1" indent="1"/>
    </xf>
    <xf numFmtId="0" fontId="7" fillId="3" borderId="0" xfId="0" applyFont="1" applyFill="1" applyAlignment="1">
      <alignment horizontal="right" vertical="center" wrapText="1" indent="1"/>
    </xf>
    <xf numFmtId="0" fontId="25" fillId="2" borderId="0" xfId="0" applyFont="1" applyFill="1"/>
    <xf numFmtId="0" fontId="25" fillId="2" borderId="0" xfId="0" applyFont="1" applyFill="1" applyAlignment="1">
      <alignment vertical="center"/>
    </xf>
    <xf numFmtId="165" fontId="20" fillId="5" borderId="3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/>
    </xf>
    <xf numFmtId="0" fontId="22" fillId="0" borderId="0" xfId="0" applyFont="1"/>
    <xf numFmtId="43" fontId="0" fillId="0" borderId="0" xfId="1" applyFont="1" applyFill="1" applyAlignment="1">
      <alignment vertical="center" wrapText="1"/>
    </xf>
    <xf numFmtId="43" fontId="0" fillId="0" borderId="0" xfId="0" applyNumberFormat="1" applyAlignment="1">
      <alignment vertical="center" wrapText="1"/>
    </xf>
    <xf numFmtId="14" fontId="0" fillId="0" borderId="0" xfId="0" applyNumberFormat="1"/>
    <xf numFmtId="165" fontId="20" fillId="2" borderId="2" xfId="0" applyNumberFormat="1" applyFont="1" applyFill="1" applyBorder="1" applyAlignment="1">
      <alignment vertical="center" wrapText="1"/>
    </xf>
    <xf numFmtId="165" fontId="20" fillId="0" borderId="2" xfId="0" applyNumberFormat="1" applyFont="1" applyBorder="1" applyAlignment="1">
      <alignment vertical="center" wrapText="1"/>
    </xf>
    <xf numFmtId="165" fontId="20" fillId="6" borderId="1" xfId="0" applyNumberFormat="1" applyFont="1" applyFill="1" applyBorder="1" applyAlignment="1">
      <alignment vertical="center" wrapText="1"/>
    </xf>
    <xf numFmtId="165" fontId="0" fillId="6" borderId="0" xfId="0" applyNumberFormat="1" applyFill="1" applyAlignment="1">
      <alignment vertical="center" wrapText="1"/>
    </xf>
    <xf numFmtId="22" fontId="0" fillId="0" borderId="0" xfId="0" applyNumberFormat="1"/>
    <xf numFmtId="0" fontId="16" fillId="4" borderId="6" xfId="0" applyFont="1" applyFill="1" applyBorder="1" applyAlignment="1">
      <alignment wrapText="1"/>
    </xf>
    <xf numFmtId="164" fontId="16" fillId="4" borderId="6" xfId="0" applyNumberFormat="1" applyFont="1" applyFill="1" applyBorder="1" applyAlignment="1">
      <alignment wrapText="1"/>
    </xf>
    <xf numFmtId="0" fontId="20" fillId="2" borderId="3" xfId="0" applyFont="1" applyFill="1" applyBorder="1" applyAlignment="1">
      <alignment horizontal="left" vertical="center" wrapText="1"/>
    </xf>
    <xf numFmtId="166" fontId="20" fillId="2" borderId="3" xfId="0" applyNumberFormat="1" applyFont="1" applyFill="1" applyBorder="1" applyAlignment="1">
      <alignment horizontal="center" vertical="center" wrapText="1"/>
    </xf>
    <xf numFmtId="0" fontId="20" fillId="0" borderId="3" xfId="0" applyFont="1" applyBorder="1" applyAlignment="1">
      <alignment horizontal="center" wrapText="1"/>
    </xf>
    <xf numFmtId="0" fontId="9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20" fillId="0" borderId="3" xfId="0" applyFont="1" applyBorder="1" applyAlignment="1">
      <alignment horizontal="left" vertical="center" wrapText="1"/>
    </xf>
    <xf numFmtId="165" fontId="20" fillId="0" borderId="3" xfId="0" applyNumberFormat="1" applyFont="1" applyBorder="1" applyAlignment="1">
      <alignment horizontal="center" vertical="center" wrapText="1"/>
    </xf>
    <xf numFmtId="165" fontId="20" fillId="0" borderId="3" xfId="0" applyNumberFormat="1" applyFont="1" applyBorder="1" applyAlignment="1">
      <alignment horizontal="center" wrapText="1"/>
    </xf>
    <xf numFmtId="0" fontId="18" fillId="2" borderId="1" xfId="0" applyFont="1" applyFill="1" applyBorder="1" applyAlignment="1">
      <alignment horizontal="center" wrapText="1"/>
    </xf>
    <xf numFmtId="0" fontId="18" fillId="2" borderId="2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2" xfId="0" applyFont="1" applyBorder="1" applyAlignment="1">
      <alignment horizontal="left" vertical="center" wrapText="1"/>
    </xf>
    <xf numFmtId="0" fontId="15" fillId="2" borderId="6" xfId="0" applyFont="1" applyFill="1" applyBorder="1" applyAlignment="1">
      <alignment wrapText="1"/>
    </xf>
    <xf numFmtId="0" fontId="15" fillId="0" borderId="6" xfId="0" applyFont="1" applyBorder="1" applyAlignment="1">
      <alignment wrapText="1"/>
    </xf>
    <xf numFmtId="0" fontId="4" fillId="2" borderId="6" xfId="0" applyFont="1" applyFill="1" applyBorder="1" applyAlignment="1">
      <alignment wrapText="1"/>
    </xf>
    <xf numFmtId="0" fontId="4" fillId="0" borderId="6" xfId="0" applyFont="1" applyBorder="1" applyAlignment="1">
      <alignment wrapText="1"/>
    </xf>
    <xf numFmtId="0" fontId="18" fillId="2" borderId="3" xfId="0" applyFont="1" applyFill="1" applyBorder="1" applyAlignment="1">
      <alignment horizontal="center" wrapText="1"/>
    </xf>
    <xf numFmtId="0" fontId="0" fillId="2" borderId="3" xfId="0" applyFill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9" fillId="0" borderId="2" xfId="0" applyFont="1" applyBorder="1" applyAlignment="1">
      <alignment wrapText="1"/>
    </xf>
    <xf numFmtId="0" fontId="6" fillId="2" borderId="1" xfId="0" applyFont="1" applyFill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wrapText="1"/>
    </xf>
    <xf numFmtId="0" fontId="7" fillId="0" borderId="0" xfId="0" applyFont="1" applyAlignment="1">
      <alignment horizontal="right" vertical="center" wrapText="1"/>
    </xf>
  </cellXfs>
  <cellStyles count="2">
    <cellStyle name="Comma" xfId="1" builtinId="3"/>
    <cellStyle name="Normal" xfId="0" builtinId="0"/>
  </cellStyles>
  <dxfs count="1">
    <dxf>
      <font>
        <b/>
        <i val="0"/>
        <color rgb="FFFF0000"/>
      </font>
    </dxf>
  </dxfs>
  <tableStyles count="1" defaultTableStyle="TableStyleMedium2" defaultPivotStyle="PivotStyleLight16">
    <tableStyle name="Invisible" pivot="0" table="0" count="0" xr9:uid="{0FA2698A-D395-4B9E-97B6-B80DEAA410D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256205</xdr:colOff>
      <xdr:row>1</xdr:row>
      <xdr:rowOff>320675</xdr:rowOff>
    </xdr:from>
    <xdr:to>
      <xdr:col>15</xdr:col>
      <xdr:colOff>338466</xdr:colOff>
      <xdr:row>3</xdr:row>
      <xdr:rowOff>69453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81F64D9-3D59-4BB3-B5EF-D1B73EC34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3236" y="419894"/>
          <a:ext cx="2106324" cy="12767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74F7-D2AC-4928-B3E7-AE7152DADB39}">
  <sheetPr codeName="Sheet1">
    <tabColor rgb="FF92D050"/>
  </sheetPr>
  <dimension ref="A1:Y199"/>
  <sheetViews>
    <sheetView tabSelected="1" topLeftCell="A16" zoomScale="96" zoomScaleNormal="96" workbookViewId="0">
      <selection activeCell="C37" sqref="C37"/>
    </sheetView>
  </sheetViews>
  <sheetFormatPr defaultRowHeight="14.5" x14ac:dyDescent="0.35"/>
  <cols>
    <col min="1" max="1" width="3.1796875" customWidth="1"/>
    <col min="2" max="2" width="23" customWidth="1"/>
    <col min="3" max="3" width="22.54296875" customWidth="1"/>
    <col min="4" max="4" width="2.81640625" customWidth="1"/>
    <col min="5" max="5" width="19.1796875" customWidth="1"/>
    <col min="6" max="6" width="1.54296875" customWidth="1"/>
    <col min="7" max="7" width="20.453125" style="3" customWidth="1"/>
    <col min="8" max="8" width="12.81640625" style="3" customWidth="1"/>
    <col min="9" max="9" width="14.1796875" style="3" customWidth="1"/>
    <col min="10" max="10" width="8.453125" style="3" hidden="1" customWidth="1"/>
    <col min="11" max="11" width="22.54296875" style="3" customWidth="1"/>
    <col min="12" max="12" width="8.81640625" style="3" bestFit="1" customWidth="1"/>
    <col min="13" max="13" width="11.54296875" style="3" customWidth="1"/>
    <col min="14" max="14" width="5.7265625" style="3" customWidth="1"/>
    <col min="15" max="15" width="11.54296875" style="2" customWidth="1"/>
    <col min="16" max="16" width="27.54296875" style="2" customWidth="1"/>
    <col min="17" max="17" width="26.453125" style="3" customWidth="1"/>
    <col min="18" max="18" width="12.54296875" style="3" bestFit="1" customWidth="1"/>
    <col min="19" max="20" width="8.7265625" style="3"/>
    <col min="21" max="21" width="11.26953125" style="3" bestFit="1" customWidth="1"/>
    <col min="22" max="22" width="22.54296875" style="3" bestFit="1" customWidth="1"/>
    <col min="23" max="243" width="8.7265625" style="3"/>
    <col min="244" max="244" width="3.1796875" style="3" customWidth="1"/>
    <col min="245" max="246" width="18.54296875" style="3" customWidth="1"/>
    <col min="247" max="247" width="2.81640625" style="3" customWidth="1"/>
    <col min="248" max="248" width="19.1796875" style="3" customWidth="1"/>
    <col min="249" max="249" width="1.54296875" style="3" customWidth="1"/>
    <col min="250" max="250" width="20.453125" style="3" customWidth="1"/>
    <col min="251" max="251" width="12.81640625" style="3" customWidth="1"/>
    <col min="252" max="252" width="3" style="3" customWidth="1"/>
    <col min="253" max="253" width="8.453125" style="3" customWidth="1"/>
    <col min="254" max="254" width="10.81640625" style="3" customWidth="1"/>
    <col min="255" max="255" width="0.81640625" style="3" customWidth="1"/>
    <col min="256" max="256" width="8.7265625" style="3"/>
    <col min="257" max="263" width="25.1796875" style="3" customWidth="1"/>
    <col min="264" max="499" width="8.7265625" style="3"/>
    <col min="500" max="500" width="3.1796875" style="3" customWidth="1"/>
    <col min="501" max="502" width="18.54296875" style="3" customWidth="1"/>
    <col min="503" max="503" width="2.81640625" style="3" customWidth="1"/>
    <col min="504" max="504" width="19.1796875" style="3" customWidth="1"/>
    <col min="505" max="505" width="1.54296875" style="3" customWidth="1"/>
    <col min="506" max="506" width="20.453125" style="3" customWidth="1"/>
    <col min="507" max="507" width="12.81640625" style="3" customWidth="1"/>
    <col min="508" max="508" width="3" style="3" customWidth="1"/>
    <col min="509" max="509" width="8.453125" style="3" customWidth="1"/>
    <col min="510" max="510" width="10.81640625" style="3" customWidth="1"/>
    <col min="511" max="511" width="0.81640625" style="3" customWidth="1"/>
    <col min="512" max="512" width="8.7265625" style="3"/>
    <col min="513" max="519" width="25.1796875" style="3" customWidth="1"/>
    <col min="520" max="755" width="8.7265625" style="3"/>
    <col min="756" max="756" width="3.1796875" style="3" customWidth="1"/>
    <col min="757" max="758" width="18.54296875" style="3" customWidth="1"/>
    <col min="759" max="759" width="2.81640625" style="3" customWidth="1"/>
    <col min="760" max="760" width="19.1796875" style="3" customWidth="1"/>
    <col min="761" max="761" width="1.54296875" style="3" customWidth="1"/>
    <col min="762" max="762" width="20.453125" style="3" customWidth="1"/>
    <col min="763" max="763" width="12.81640625" style="3" customWidth="1"/>
    <col min="764" max="764" width="3" style="3" customWidth="1"/>
    <col min="765" max="765" width="8.453125" style="3" customWidth="1"/>
    <col min="766" max="766" width="10.81640625" style="3" customWidth="1"/>
    <col min="767" max="767" width="0.81640625" style="3" customWidth="1"/>
    <col min="768" max="768" width="8.7265625" style="3"/>
    <col min="769" max="775" width="25.1796875" style="3" customWidth="1"/>
    <col min="776" max="1011" width="8.7265625" style="3"/>
    <col min="1012" max="1012" width="3.1796875" style="3" customWidth="1"/>
    <col min="1013" max="1014" width="18.54296875" style="3" customWidth="1"/>
    <col min="1015" max="1015" width="2.81640625" style="3" customWidth="1"/>
    <col min="1016" max="1016" width="19.1796875" style="3" customWidth="1"/>
    <col min="1017" max="1017" width="1.54296875" style="3" customWidth="1"/>
    <col min="1018" max="1018" width="20.453125" style="3" customWidth="1"/>
    <col min="1019" max="1019" width="12.81640625" style="3" customWidth="1"/>
    <col min="1020" max="1020" width="3" style="3" customWidth="1"/>
    <col min="1021" max="1021" width="8.453125" style="3" customWidth="1"/>
    <col min="1022" max="1022" width="10.81640625" style="3" customWidth="1"/>
    <col min="1023" max="1023" width="0.81640625" style="3" customWidth="1"/>
    <col min="1024" max="1024" width="8.7265625" style="3"/>
    <col min="1025" max="1031" width="25.1796875" style="3" customWidth="1"/>
    <col min="1032" max="1267" width="8.7265625" style="3"/>
    <col min="1268" max="1268" width="3.1796875" style="3" customWidth="1"/>
    <col min="1269" max="1270" width="18.54296875" style="3" customWidth="1"/>
    <col min="1271" max="1271" width="2.81640625" style="3" customWidth="1"/>
    <col min="1272" max="1272" width="19.1796875" style="3" customWidth="1"/>
    <col min="1273" max="1273" width="1.54296875" style="3" customWidth="1"/>
    <col min="1274" max="1274" width="20.453125" style="3" customWidth="1"/>
    <col min="1275" max="1275" width="12.81640625" style="3" customWidth="1"/>
    <col min="1276" max="1276" width="3" style="3" customWidth="1"/>
    <col min="1277" max="1277" width="8.453125" style="3" customWidth="1"/>
    <col min="1278" max="1278" width="10.81640625" style="3" customWidth="1"/>
    <col min="1279" max="1279" width="0.81640625" style="3" customWidth="1"/>
    <col min="1280" max="1280" width="8.7265625" style="3"/>
    <col min="1281" max="1287" width="25.1796875" style="3" customWidth="1"/>
    <col min="1288" max="1523" width="8.7265625" style="3"/>
    <col min="1524" max="1524" width="3.1796875" style="3" customWidth="1"/>
    <col min="1525" max="1526" width="18.54296875" style="3" customWidth="1"/>
    <col min="1527" max="1527" width="2.81640625" style="3" customWidth="1"/>
    <col min="1528" max="1528" width="19.1796875" style="3" customWidth="1"/>
    <col min="1529" max="1529" width="1.54296875" style="3" customWidth="1"/>
    <col min="1530" max="1530" width="20.453125" style="3" customWidth="1"/>
    <col min="1531" max="1531" width="12.81640625" style="3" customWidth="1"/>
    <col min="1532" max="1532" width="3" style="3" customWidth="1"/>
    <col min="1533" max="1533" width="8.453125" style="3" customWidth="1"/>
    <col min="1534" max="1534" width="10.81640625" style="3" customWidth="1"/>
    <col min="1535" max="1535" width="0.81640625" style="3" customWidth="1"/>
    <col min="1536" max="1536" width="8.7265625" style="3"/>
    <col min="1537" max="1543" width="25.1796875" style="3" customWidth="1"/>
    <col min="1544" max="1779" width="8.7265625" style="3"/>
    <col min="1780" max="1780" width="3.1796875" style="3" customWidth="1"/>
    <col min="1781" max="1782" width="18.54296875" style="3" customWidth="1"/>
    <col min="1783" max="1783" width="2.81640625" style="3" customWidth="1"/>
    <col min="1784" max="1784" width="19.1796875" style="3" customWidth="1"/>
    <col min="1785" max="1785" width="1.54296875" style="3" customWidth="1"/>
    <col min="1786" max="1786" width="20.453125" style="3" customWidth="1"/>
    <col min="1787" max="1787" width="12.81640625" style="3" customWidth="1"/>
    <col min="1788" max="1788" width="3" style="3" customWidth="1"/>
    <col min="1789" max="1789" width="8.453125" style="3" customWidth="1"/>
    <col min="1790" max="1790" width="10.81640625" style="3" customWidth="1"/>
    <col min="1791" max="1791" width="0.81640625" style="3" customWidth="1"/>
    <col min="1792" max="1792" width="8.7265625" style="3"/>
    <col min="1793" max="1799" width="25.1796875" style="3" customWidth="1"/>
    <col min="1800" max="2035" width="8.7265625" style="3"/>
    <col min="2036" max="2036" width="3.1796875" style="3" customWidth="1"/>
    <col min="2037" max="2038" width="18.54296875" style="3" customWidth="1"/>
    <col min="2039" max="2039" width="2.81640625" style="3" customWidth="1"/>
    <col min="2040" max="2040" width="19.1796875" style="3" customWidth="1"/>
    <col min="2041" max="2041" width="1.54296875" style="3" customWidth="1"/>
    <col min="2042" max="2042" width="20.453125" style="3" customWidth="1"/>
    <col min="2043" max="2043" width="12.81640625" style="3" customWidth="1"/>
    <col min="2044" max="2044" width="3" style="3" customWidth="1"/>
    <col min="2045" max="2045" width="8.453125" style="3" customWidth="1"/>
    <col min="2046" max="2046" width="10.81640625" style="3" customWidth="1"/>
    <col min="2047" max="2047" width="0.81640625" style="3" customWidth="1"/>
    <col min="2048" max="2048" width="8.7265625" style="3"/>
    <col min="2049" max="2055" width="25.1796875" style="3" customWidth="1"/>
    <col min="2056" max="2291" width="8.7265625" style="3"/>
    <col min="2292" max="2292" width="3.1796875" style="3" customWidth="1"/>
    <col min="2293" max="2294" width="18.54296875" style="3" customWidth="1"/>
    <col min="2295" max="2295" width="2.81640625" style="3" customWidth="1"/>
    <col min="2296" max="2296" width="19.1796875" style="3" customWidth="1"/>
    <col min="2297" max="2297" width="1.54296875" style="3" customWidth="1"/>
    <col min="2298" max="2298" width="20.453125" style="3" customWidth="1"/>
    <col min="2299" max="2299" width="12.81640625" style="3" customWidth="1"/>
    <col min="2300" max="2300" width="3" style="3" customWidth="1"/>
    <col min="2301" max="2301" width="8.453125" style="3" customWidth="1"/>
    <col min="2302" max="2302" width="10.81640625" style="3" customWidth="1"/>
    <col min="2303" max="2303" width="0.81640625" style="3" customWidth="1"/>
    <col min="2304" max="2304" width="8.7265625" style="3"/>
    <col min="2305" max="2311" width="25.1796875" style="3" customWidth="1"/>
    <col min="2312" max="2547" width="8.7265625" style="3"/>
    <col min="2548" max="2548" width="3.1796875" style="3" customWidth="1"/>
    <col min="2549" max="2550" width="18.54296875" style="3" customWidth="1"/>
    <col min="2551" max="2551" width="2.81640625" style="3" customWidth="1"/>
    <col min="2552" max="2552" width="19.1796875" style="3" customWidth="1"/>
    <col min="2553" max="2553" width="1.54296875" style="3" customWidth="1"/>
    <col min="2554" max="2554" width="20.453125" style="3" customWidth="1"/>
    <col min="2555" max="2555" width="12.81640625" style="3" customWidth="1"/>
    <col min="2556" max="2556" width="3" style="3" customWidth="1"/>
    <col min="2557" max="2557" width="8.453125" style="3" customWidth="1"/>
    <col min="2558" max="2558" width="10.81640625" style="3" customWidth="1"/>
    <col min="2559" max="2559" width="0.81640625" style="3" customWidth="1"/>
    <col min="2560" max="2560" width="8.7265625" style="3"/>
    <col min="2561" max="2567" width="25.1796875" style="3" customWidth="1"/>
    <col min="2568" max="2803" width="8.7265625" style="3"/>
    <col min="2804" max="2804" width="3.1796875" style="3" customWidth="1"/>
    <col min="2805" max="2806" width="18.54296875" style="3" customWidth="1"/>
    <col min="2807" max="2807" width="2.81640625" style="3" customWidth="1"/>
    <col min="2808" max="2808" width="19.1796875" style="3" customWidth="1"/>
    <col min="2809" max="2809" width="1.54296875" style="3" customWidth="1"/>
    <col min="2810" max="2810" width="20.453125" style="3" customWidth="1"/>
    <col min="2811" max="2811" width="12.81640625" style="3" customWidth="1"/>
    <col min="2812" max="2812" width="3" style="3" customWidth="1"/>
    <col min="2813" max="2813" width="8.453125" style="3" customWidth="1"/>
    <col min="2814" max="2814" width="10.81640625" style="3" customWidth="1"/>
    <col min="2815" max="2815" width="0.81640625" style="3" customWidth="1"/>
    <col min="2816" max="2816" width="8.7265625" style="3"/>
    <col min="2817" max="2823" width="25.1796875" style="3" customWidth="1"/>
    <col min="2824" max="3059" width="8.7265625" style="3"/>
    <col min="3060" max="3060" width="3.1796875" style="3" customWidth="1"/>
    <col min="3061" max="3062" width="18.54296875" style="3" customWidth="1"/>
    <col min="3063" max="3063" width="2.81640625" style="3" customWidth="1"/>
    <col min="3064" max="3064" width="19.1796875" style="3" customWidth="1"/>
    <col min="3065" max="3065" width="1.54296875" style="3" customWidth="1"/>
    <col min="3066" max="3066" width="20.453125" style="3" customWidth="1"/>
    <col min="3067" max="3067" width="12.81640625" style="3" customWidth="1"/>
    <col min="3068" max="3068" width="3" style="3" customWidth="1"/>
    <col min="3069" max="3069" width="8.453125" style="3" customWidth="1"/>
    <col min="3070" max="3070" width="10.81640625" style="3" customWidth="1"/>
    <col min="3071" max="3071" width="0.81640625" style="3" customWidth="1"/>
    <col min="3072" max="3072" width="8.7265625" style="3"/>
    <col min="3073" max="3079" width="25.1796875" style="3" customWidth="1"/>
    <col min="3080" max="3315" width="8.7265625" style="3"/>
    <col min="3316" max="3316" width="3.1796875" style="3" customWidth="1"/>
    <col min="3317" max="3318" width="18.54296875" style="3" customWidth="1"/>
    <col min="3319" max="3319" width="2.81640625" style="3" customWidth="1"/>
    <col min="3320" max="3320" width="19.1796875" style="3" customWidth="1"/>
    <col min="3321" max="3321" width="1.54296875" style="3" customWidth="1"/>
    <col min="3322" max="3322" width="20.453125" style="3" customWidth="1"/>
    <col min="3323" max="3323" width="12.81640625" style="3" customWidth="1"/>
    <col min="3324" max="3324" width="3" style="3" customWidth="1"/>
    <col min="3325" max="3325" width="8.453125" style="3" customWidth="1"/>
    <col min="3326" max="3326" width="10.81640625" style="3" customWidth="1"/>
    <col min="3327" max="3327" width="0.81640625" style="3" customWidth="1"/>
    <col min="3328" max="3328" width="8.7265625" style="3"/>
    <col min="3329" max="3335" width="25.1796875" style="3" customWidth="1"/>
    <col min="3336" max="3571" width="8.7265625" style="3"/>
    <col min="3572" max="3572" width="3.1796875" style="3" customWidth="1"/>
    <col min="3573" max="3574" width="18.54296875" style="3" customWidth="1"/>
    <col min="3575" max="3575" width="2.81640625" style="3" customWidth="1"/>
    <col min="3576" max="3576" width="19.1796875" style="3" customWidth="1"/>
    <col min="3577" max="3577" width="1.54296875" style="3" customWidth="1"/>
    <col min="3578" max="3578" width="20.453125" style="3" customWidth="1"/>
    <col min="3579" max="3579" width="12.81640625" style="3" customWidth="1"/>
    <col min="3580" max="3580" width="3" style="3" customWidth="1"/>
    <col min="3581" max="3581" width="8.453125" style="3" customWidth="1"/>
    <col min="3582" max="3582" width="10.81640625" style="3" customWidth="1"/>
    <col min="3583" max="3583" width="0.81640625" style="3" customWidth="1"/>
    <col min="3584" max="3584" width="8.7265625" style="3"/>
    <col min="3585" max="3591" width="25.1796875" style="3" customWidth="1"/>
    <col min="3592" max="3827" width="8.7265625" style="3"/>
    <col min="3828" max="3828" width="3.1796875" style="3" customWidth="1"/>
    <col min="3829" max="3830" width="18.54296875" style="3" customWidth="1"/>
    <col min="3831" max="3831" width="2.81640625" style="3" customWidth="1"/>
    <col min="3832" max="3832" width="19.1796875" style="3" customWidth="1"/>
    <col min="3833" max="3833" width="1.54296875" style="3" customWidth="1"/>
    <col min="3834" max="3834" width="20.453125" style="3" customWidth="1"/>
    <col min="3835" max="3835" width="12.81640625" style="3" customWidth="1"/>
    <col min="3836" max="3836" width="3" style="3" customWidth="1"/>
    <col min="3837" max="3837" width="8.453125" style="3" customWidth="1"/>
    <col min="3838" max="3838" width="10.81640625" style="3" customWidth="1"/>
    <col min="3839" max="3839" width="0.81640625" style="3" customWidth="1"/>
    <col min="3840" max="3840" width="8.7265625" style="3"/>
    <col min="3841" max="3847" width="25.1796875" style="3" customWidth="1"/>
    <col min="3848" max="4083" width="8.7265625" style="3"/>
    <col min="4084" max="4084" width="3.1796875" style="3" customWidth="1"/>
    <col min="4085" max="4086" width="18.54296875" style="3" customWidth="1"/>
    <col min="4087" max="4087" width="2.81640625" style="3" customWidth="1"/>
    <col min="4088" max="4088" width="19.1796875" style="3" customWidth="1"/>
    <col min="4089" max="4089" width="1.54296875" style="3" customWidth="1"/>
    <col min="4090" max="4090" width="20.453125" style="3" customWidth="1"/>
    <col min="4091" max="4091" width="12.81640625" style="3" customWidth="1"/>
    <col min="4092" max="4092" width="3" style="3" customWidth="1"/>
    <col min="4093" max="4093" width="8.453125" style="3" customWidth="1"/>
    <col min="4094" max="4094" width="10.81640625" style="3" customWidth="1"/>
    <col min="4095" max="4095" width="0.81640625" style="3" customWidth="1"/>
    <col min="4096" max="4096" width="8.7265625" style="3"/>
    <col min="4097" max="4103" width="25.1796875" style="3" customWidth="1"/>
    <col min="4104" max="4339" width="8.7265625" style="3"/>
    <col min="4340" max="4340" width="3.1796875" style="3" customWidth="1"/>
    <col min="4341" max="4342" width="18.54296875" style="3" customWidth="1"/>
    <col min="4343" max="4343" width="2.81640625" style="3" customWidth="1"/>
    <col min="4344" max="4344" width="19.1796875" style="3" customWidth="1"/>
    <col min="4345" max="4345" width="1.54296875" style="3" customWidth="1"/>
    <col min="4346" max="4346" width="20.453125" style="3" customWidth="1"/>
    <col min="4347" max="4347" width="12.81640625" style="3" customWidth="1"/>
    <col min="4348" max="4348" width="3" style="3" customWidth="1"/>
    <col min="4349" max="4349" width="8.453125" style="3" customWidth="1"/>
    <col min="4350" max="4350" width="10.81640625" style="3" customWidth="1"/>
    <col min="4351" max="4351" width="0.81640625" style="3" customWidth="1"/>
    <col min="4352" max="4352" width="8.7265625" style="3"/>
    <col min="4353" max="4359" width="25.1796875" style="3" customWidth="1"/>
    <col min="4360" max="4595" width="8.7265625" style="3"/>
    <col min="4596" max="4596" width="3.1796875" style="3" customWidth="1"/>
    <col min="4597" max="4598" width="18.54296875" style="3" customWidth="1"/>
    <col min="4599" max="4599" width="2.81640625" style="3" customWidth="1"/>
    <col min="4600" max="4600" width="19.1796875" style="3" customWidth="1"/>
    <col min="4601" max="4601" width="1.54296875" style="3" customWidth="1"/>
    <col min="4602" max="4602" width="20.453125" style="3" customWidth="1"/>
    <col min="4603" max="4603" width="12.81640625" style="3" customWidth="1"/>
    <col min="4604" max="4604" width="3" style="3" customWidth="1"/>
    <col min="4605" max="4605" width="8.453125" style="3" customWidth="1"/>
    <col min="4606" max="4606" width="10.81640625" style="3" customWidth="1"/>
    <col min="4607" max="4607" width="0.81640625" style="3" customWidth="1"/>
    <col min="4608" max="4608" width="8.7265625" style="3"/>
    <col min="4609" max="4615" width="25.1796875" style="3" customWidth="1"/>
    <col min="4616" max="4851" width="8.7265625" style="3"/>
    <col min="4852" max="4852" width="3.1796875" style="3" customWidth="1"/>
    <col min="4853" max="4854" width="18.54296875" style="3" customWidth="1"/>
    <col min="4855" max="4855" width="2.81640625" style="3" customWidth="1"/>
    <col min="4856" max="4856" width="19.1796875" style="3" customWidth="1"/>
    <col min="4857" max="4857" width="1.54296875" style="3" customWidth="1"/>
    <col min="4858" max="4858" width="20.453125" style="3" customWidth="1"/>
    <col min="4859" max="4859" width="12.81640625" style="3" customWidth="1"/>
    <col min="4860" max="4860" width="3" style="3" customWidth="1"/>
    <col min="4861" max="4861" width="8.453125" style="3" customWidth="1"/>
    <col min="4862" max="4862" width="10.81640625" style="3" customWidth="1"/>
    <col min="4863" max="4863" width="0.81640625" style="3" customWidth="1"/>
    <col min="4864" max="4864" width="8.7265625" style="3"/>
    <col min="4865" max="4871" width="25.1796875" style="3" customWidth="1"/>
    <col min="4872" max="5107" width="8.7265625" style="3"/>
    <col min="5108" max="5108" width="3.1796875" style="3" customWidth="1"/>
    <col min="5109" max="5110" width="18.54296875" style="3" customWidth="1"/>
    <col min="5111" max="5111" width="2.81640625" style="3" customWidth="1"/>
    <col min="5112" max="5112" width="19.1796875" style="3" customWidth="1"/>
    <col min="5113" max="5113" width="1.54296875" style="3" customWidth="1"/>
    <col min="5114" max="5114" width="20.453125" style="3" customWidth="1"/>
    <col min="5115" max="5115" width="12.81640625" style="3" customWidth="1"/>
    <col min="5116" max="5116" width="3" style="3" customWidth="1"/>
    <col min="5117" max="5117" width="8.453125" style="3" customWidth="1"/>
    <col min="5118" max="5118" width="10.81640625" style="3" customWidth="1"/>
    <col min="5119" max="5119" width="0.81640625" style="3" customWidth="1"/>
    <col min="5120" max="5120" width="8.7265625" style="3"/>
    <col min="5121" max="5127" width="25.1796875" style="3" customWidth="1"/>
    <col min="5128" max="5363" width="8.7265625" style="3"/>
    <col min="5364" max="5364" width="3.1796875" style="3" customWidth="1"/>
    <col min="5365" max="5366" width="18.54296875" style="3" customWidth="1"/>
    <col min="5367" max="5367" width="2.81640625" style="3" customWidth="1"/>
    <col min="5368" max="5368" width="19.1796875" style="3" customWidth="1"/>
    <col min="5369" max="5369" width="1.54296875" style="3" customWidth="1"/>
    <col min="5370" max="5370" width="20.453125" style="3" customWidth="1"/>
    <col min="5371" max="5371" width="12.81640625" style="3" customWidth="1"/>
    <col min="5372" max="5372" width="3" style="3" customWidth="1"/>
    <col min="5373" max="5373" width="8.453125" style="3" customWidth="1"/>
    <col min="5374" max="5374" width="10.81640625" style="3" customWidth="1"/>
    <col min="5375" max="5375" width="0.81640625" style="3" customWidth="1"/>
    <col min="5376" max="5376" width="8.7265625" style="3"/>
    <col min="5377" max="5383" width="25.1796875" style="3" customWidth="1"/>
    <col min="5384" max="5619" width="8.7265625" style="3"/>
    <col min="5620" max="5620" width="3.1796875" style="3" customWidth="1"/>
    <col min="5621" max="5622" width="18.54296875" style="3" customWidth="1"/>
    <col min="5623" max="5623" width="2.81640625" style="3" customWidth="1"/>
    <col min="5624" max="5624" width="19.1796875" style="3" customWidth="1"/>
    <col min="5625" max="5625" width="1.54296875" style="3" customWidth="1"/>
    <col min="5626" max="5626" width="20.453125" style="3" customWidth="1"/>
    <col min="5627" max="5627" width="12.81640625" style="3" customWidth="1"/>
    <col min="5628" max="5628" width="3" style="3" customWidth="1"/>
    <col min="5629" max="5629" width="8.453125" style="3" customWidth="1"/>
    <col min="5630" max="5630" width="10.81640625" style="3" customWidth="1"/>
    <col min="5631" max="5631" width="0.81640625" style="3" customWidth="1"/>
    <col min="5632" max="5632" width="8.7265625" style="3"/>
    <col min="5633" max="5639" width="25.1796875" style="3" customWidth="1"/>
    <col min="5640" max="5875" width="8.7265625" style="3"/>
    <col min="5876" max="5876" width="3.1796875" style="3" customWidth="1"/>
    <col min="5877" max="5878" width="18.54296875" style="3" customWidth="1"/>
    <col min="5879" max="5879" width="2.81640625" style="3" customWidth="1"/>
    <col min="5880" max="5880" width="19.1796875" style="3" customWidth="1"/>
    <col min="5881" max="5881" width="1.54296875" style="3" customWidth="1"/>
    <col min="5882" max="5882" width="20.453125" style="3" customWidth="1"/>
    <col min="5883" max="5883" width="12.81640625" style="3" customWidth="1"/>
    <col min="5884" max="5884" width="3" style="3" customWidth="1"/>
    <col min="5885" max="5885" width="8.453125" style="3" customWidth="1"/>
    <col min="5886" max="5886" width="10.81640625" style="3" customWidth="1"/>
    <col min="5887" max="5887" width="0.81640625" style="3" customWidth="1"/>
    <col min="5888" max="5888" width="8.7265625" style="3"/>
    <col min="5889" max="5895" width="25.1796875" style="3" customWidth="1"/>
    <col min="5896" max="6131" width="8.7265625" style="3"/>
    <col min="6132" max="6132" width="3.1796875" style="3" customWidth="1"/>
    <col min="6133" max="6134" width="18.54296875" style="3" customWidth="1"/>
    <col min="6135" max="6135" width="2.81640625" style="3" customWidth="1"/>
    <col min="6136" max="6136" width="19.1796875" style="3" customWidth="1"/>
    <col min="6137" max="6137" width="1.54296875" style="3" customWidth="1"/>
    <col min="6138" max="6138" width="20.453125" style="3" customWidth="1"/>
    <col min="6139" max="6139" width="12.81640625" style="3" customWidth="1"/>
    <col min="6140" max="6140" width="3" style="3" customWidth="1"/>
    <col min="6141" max="6141" width="8.453125" style="3" customWidth="1"/>
    <col min="6142" max="6142" width="10.81640625" style="3" customWidth="1"/>
    <col min="6143" max="6143" width="0.81640625" style="3" customWidth="1"/>
    <col min="6144" max="6144" width="8.7265625" style="3"/>
    <col min="6145" max="6151" width="25.1796875" style="3" customWidth="1"/>
    <col min="6152" max="6387" width="8.7265625" style="3"/>
    <col min="6388" max="6388" width="3.1796875" style="3" customWidth="1"/>
    <col min="6389" max="6390" width="18.54296875" style="3" customWidth="1"/>
    <col min="6391" max="6391" width="2.81640625" style="3" customWidth="1"/>
    <col min="6392" max="6392" width="19.1796875" style="3" customWidth="1"/>
    <col min="6393" max="6393" width="1.54296875" style="3" customWidth="1"/>
    <col min="6394" max="6394" width="20.453125" style="3" customWidth="1"/>
    <col min="6395" max="6395" width="12.81640625" style="3" customWidth="1"/>
    <col min="6396" max="6396" width="3" style="3" customWidth="1"/>
    <col min="6397" max="6397" width="8.453125" style="3" customWidth="1"/>
    <col min="6398" max="6398" width="10.81640625" style="3" customWidth="1"/>
    <col min="6399" max="6399" width="0.81640625" style="3" customWidth="1"/>
    <col min="6400" max="6400" width="8.7265625" style="3"/>
    <col min="6401" max="6407" width="25.1796875" style="3" customWidth="1"/>
    <col min="6408" max="6643" width="8.7265625" style="3"/>
    <col min="6644" max="6644" width="3.1796875" style="3" customWidth="1"/>
    <col min="6645" max="6646" width="18.54296875" style="3" customWidth="1"/>
    <col min="6647" max="6647" width="2.81640625" style="3" customWidth="1"/>
    <col min="6648" max="6648" width="19.1796875" style="3" customWidth="1"/>
    <col min="6649" max="6649" width="1.54296875" style="3" customWidth="1"/>
    <col min="6650" max="6650" width="20.453125" style="3" customWidth="1"/>
    <col min="6651" max="6651" width="12.81640625" style="3" customWidth="1"/>
    <col min="6652" max="6652" width="3" style="3" customWidth="1"/>
    <col min="6653" max="6653" width="8.453125" style="3" customWidth="1"/>
    <col min="6654" max="6654" width="10.81640625" style="3" customWidth="1"/>
    <col min="6655" max="6655" width="0.81640625" style="3" customWidth="1"/>
    <col min="6656" max="6656" width="8.7265625" style="3"/>
    <col min="6657" max="6663" width="25.1796875" style="3" customWidth="1"/>
    <col min="6664" max="6899" width="8.7265625" style="3"/>
    <col min="6900" max="6900" width="3.1796875" style="3" customWidth="1"/>
    <col min="6901" max="6902" width="18.54296875" style="3" customWidth="1"/>
    <col min="6903" max="6903" width="2.81640625" style="3" customWidth="1"/>
    <col min="6904" max="6904" width="19.1796875" style="3" customWidth="1"/>
    <col min="6905" max="6905" width="1.54296875" style="3" customWidth="1"/>
    <col min="6906" max="6906" width="20.453125" style="3" customWidth="1"/>
    <col min="6907" max="6907" width="12.81640625" style="3" customWidth="1"/>
    <col min="6908" max="6908" width="3" style="3" customWidth="1"/>
    <col min="6909" max="6909" width="8.453125" style="3" customWidth="1"/>
    <col min="6910" max="6910" width="10.81640625" style="3" customWidth="1"/>
    <col min="6911" max="6911" width="0.81640625" style="3" customWidth="1"/>
    <col min="6912" max="6912" width="8.7265625" style="3"/>
    <col min="6913" max="6919" width="25.1796875" style="3" customWidth="1"/>
    <col min="6920" max="7155" width="8.7265625" style="3"/>
    <col min="7156" max="7156" width="3.1796875" style="3" customWidth="1"/>
    <col min="7157" max="7158" width="18.54296875" style="3" customWidth="1"/>
    <col min="7159" max="7159" width="2.81640625" style="3" customWidth="1"/>
    <col min="7160" max="7160" width="19.1796875" style="3" customWidth="1"/>
    <col min="7161" max="7161" width="1.54296875" style="3" customWidth="1"/>
    <col min="7162" max="7162" width="20.453125" style="3" customWidth="1"/>
    <col min="7163" max="7163" width="12.81640625" style="3" customWidth="1"/>
    <col min="7164" max="7164" width="3" style="3" customWidth="1"/>
    <col min="7165" max="7165" width="8.453125" style="3" customWidth="1"/>
    <col min="7166" max="7166" width="10.81640625" style="3" customWidth="1"/>
    <col min="7167" max="7167" width="0.81640625" style="3" customWidth="1"/>
    <col min="7168" max="7168" width="8.7265625" style="3"/>
    <col min="7169" max="7175" width="25.1796875" style="3" customWidth="1"/>
    <col min="7176" max="7411" width="8.7265625" style="3"/>
    <col min="7412" max="7412" width="3.1796875" style="3" customWidth="1"/>
    <col min="7413" max="7414" width="18.54296875" style="3" customWidth="1"/>
    <col min="7415" max="7415" width="2.81640625" style="3" customWidth="1"/>
    <col min="7416" max="7416" width="19.1796875" style="3" customWidth="1"/>
    <col min="7417" max="7417" width="1.54296875" style="3" customWidth="1"/>
    <col min="7418" max="7418" width="20.453125" style="3" customWidth="1"/>
    <col min="7419" max="7419" width="12.81640625" style="3" customWidth="1"/>
    <col min="7420" max="7420" width="3" style="3" customWidth="1"/>
    <col min="7421" max="7421" width="8.453125" style="3" customWidth="1"/>
    <col min="7422" max="7422" width="10.81640625" style="3" customWidth="1"/>
    <col min="7423" max="7423" width="0.81640625" style="3" customWidth="1"/>
    <col min="7424" max="7424" width="8.7265625" style="3"/>
    <col min="7425" max="7431" width="25.1796875" style="3" customWidth="1"/>
    <col min="7432" max="7667" width="8.7265625" style="3"/>
    <col min="7668" max="7668" width="3.1796875" style="3" customWidth="1"/>
    <col min="7669" max="7670" width="18.54296875" style="3" customWidth="1"/>
    <col min="7671" max="7671" width="2.81640625" style="3" customWidth="1"/>
    <col min="7672" max="7672" width="19.1796875" style="3" customWidth="1"/>
    <col min="7673" max="7673" width="1.54296875" style="3" customWidth="1"/>
    <col min="7674" max="7674" width="20.453125" style="3" customWidth="1"/>
    <col min="7675" max="7675" width="12.81640625" style="3" customWidth="1"/>
    <col min="7676" max="7676" width="3" style="3" customWidth="1"/>
    <col min="7677" max="7677" width="8.453125" style="3" customWidth="1"/>
    <col min="7678" max="7678" width="10.81640625" style="3" customWidth="1"/>
    <col min="7679" max="7679" width="0.81640625" style="3" customWidth="1"/>
    <col min="7680" max="7680" width="8.7265625" style="3"/>
    <col min="7681" max="7687" width="25.1796875" style="3" customWidth="1"/>
    <col min="7688" max="7923" width="8.7265625" style="3"/>
    <col min="7924" max="7924" width="3.1796875" style="3" customWidth="1"/>
    <col min="7925" max="7926" width="18.54296875" style="3" customWidth="1"/>
    <col min="7927" max="7927" width="2.81640625" style="3" customWidth="1"/>
    <col min="7928" max="7928" width="19.1796875" style="3" customWidth="1"/>
    <col min="7929" max="7929" width="1.54296875" style="3" customWidth="1"/>
    <col min="7930" max="7930" width="20.453125" style="3" customWidth="1"/>
    <col min="7931" max="7931" width="12.81640625" style="3" customWidth="1"/>
    <col min="7932" max="7932" width="3" style="3" customWidth="1"/>
    <col min="7933" max="7933" width="8.453125" style="3" customWidth="1"/>
    <col min="7934" max="7934" width="10.81640625" style="3" customWidth="1"/>
    <col min="7935" max="7935" width="0.81640625" style="3" customWidth="1"/>
    <col min="7936" max="7936" width="8.7265625" style="3"/>
    <col min="7937" max="7943" width="25.1796875" style="3" customWidth="1"/>
    <col min="7944" max="8179" width="8.7265625" style="3"/>
    <col min="8180" max="8180" width="3.1796875" style="3" customWidth="1"/>
    <col min="8181" max="8182" width="18.54296875" style="3" customWidth="1"/>
    <col min="8183" max="8183" width="2.81640625" style="3" customWidth="1"/>
    <col min="8184" max="8184" width="19.1796875" style="3" customWidth="1"/>
    <col min="8185" max="8185" width="1.54296875" style="3" customWidth="1"/>
    <col min="8186" max="8186" width="20.453125" style="3" customWidth="1"/>
    <col min="8187" max="8187" width="12.81640625" style="3" customWidth="1"/>
    <col min="8188" max="8188" width="3" style="3" customWidth="1"/>
    <col min="8189" max="8189" width="8.453125" style="3" customWidth="1"/>
    <col min="8190" max="8190" width="10.81640625" style="3" customWidth="1"/>
    <col min="8191" max="8191" width="0.81640625" style="3" customWidth="1"/>
    <col min="8192" max="8192" width="8.7265625" style="3"/>
    <col min="8193" max="8199" width="25.1796875" style="3" customWidth="1"/>
    <col min="8200" max="8435" width="8.7265625" style="3"/>
    <col min="8436" max="8436" width="3.1796875" style="3" customWidth="1"/>
    <col min="8437" max="8438" width="18.54296875" style="3" customWidth="1"/>
    <col min="8439" max="8439" width="2.81640625" style="3" customWidth="1"/>
    <col min="8440" max="8440" width="19.1796875" style="3" customWidth="1"/>
    <col min="8441" max="8441" width="1.54296875" style="3" customWidth="1"/>
    <col min="8442" max="8442" width="20.453125" style="3" customWidth="1"/>
    <col min="8443" max="8443" width="12.81640625" style="3" customWidth="1"/>
    <col min="8444" max="8444" width="3" style="3" customWidth="1"/>
    <col min="8445" max="8445" width="8.453125" style="3" customWidth="1"/>
    <col min="8446" max="8446" width="10.81640625" style="3" customWidth="1"/>
    <col min="8447" max="8447" width="0.81640625" style="3" customWidth="1"/>
    <col min="8448" max="8448" width="8.7265625" style="3"/>
    <col min="8449" max="8455" width="25.1796875" style="3" customWidth="1"/>
    <col min="8456" max="8691" width="8.7265625" style="3"/>
    <col min="8692" max="8692" width="3.1796875" style="3" customWidth="1"/>
    <col min="8693" max="8694" width="18.54296875" style="3" customWidth="1"/>
    <col min="8695" max="8695" width="2.81640625" style="3" customWidth="1"/>
    <col min="8696" max="8696" width="19.1796875" style="3" customWidth="1"/>
    <col min="8697" max="8697" width="1.54296875" style="3" customWidth="1"/>
    <col min="8698" max="8698" width="20.453125" style="3" customWidth="1"/>
    <col min="8699" max="8699" width="12.81640625" style="3" customWidth="1"/>
    <col min="8700" max="8700" width="3" style="3" customWidth="1"/>
    <col min="8701" max="8701" width="8.453125" style="3" customWidth="1"/>
    <col min="8702" max="8702" width="10.81640625" style="3" customWidth="1"/>
    <col min="8703" max="8703" width="0.81640625" style="3" customWidth="1"/>
    <col min="8704" max="8704" width="8.7265625" style="3"/>
    <col min="8705" max="8711" width="25.1796875" style="3" customWidth="1"/>
    <col min="8712" max="8947" width="8.7265625" style="3"/>
    <col min="8948" max="8948" width="3.1796875" style="3" customWidth="1"/>
    <col min="8949" max="8950" width="18.54296875" style="3" customWidth="1"/>
    <col min="8951" max="8951" width="2.81640625" style="3" customWidth="1"/>
    <col min="8952" max="8952" width="19.1796875" style="3" customWidth="1"/>
    <col min="8953" max="8953" width="1.54296875" style="3" customWidth="1"/>
    <col min="8954" max="8954" width="20.453125" style="3" customWidth="1"/>
    <col min="8955" max="8955" width="12.81640625" style="3" customWidth="1"/>
    <col min="8956" max="8956" width="3" style="3" customWidth="1"/>
    <col min="8957" max="8957" width="8.453125" style="3" customWidth="1"/>
    <col min="8958" max="8958" width="10.81640625" style="3" customWidth="1"/>
    <col min="8959" max="8959" width="0.81640625" style="3" customWidth="1"/>
    <col min="8960" max="8960" width="8.7265625" style="3"/>
    <col min="8961" max="8967" width="25.1796875" style="3" customWidth="1"/>
    <col min="8968" max="9203" width="8.7265625" style="3"/>
    <col min="9204" max="9204" width="3.1796875" style="3" customWidth="1"/>
    <col min="9205" max="9206" width="18.54296875" style="3" customWidth="1"/>
    <col min="9207" max="9207" width="2.81640625" style="3" customWidth="1"/>
    <col min="9208" max="9208" width="19.1796875" style="3" customWidth="1"/>
    <col min="9209" max="9209" width="1.54296875" style="3" customWidth="1"/>
    <col min="9210" max="9210" width="20.453125" style="3" customWidth="1"/>
    <col min="9211" max="9211" width="12.81640625" style="3" customWidth="1"/>
    <col min="9212" max="9212" width="3" style="3" customWidth="1"/>
    <col min="9213" max="9213" width="8.453125" style="3" customWidth="1"/>
    <col min="9214" max="9214" width="10.81640625" style="3" customWidth="1"/>
    <col min="9215" max="9215" width="0.81640625" style="3" customWidth="1"/>
    <col min="9216" max="9216" width="8.7265625" style="3"/>
    <col min="9217" max="9223" width="25.1796875" style="3" customWidth="1"/>
    <col min="9224" max="9459" width="8.7265625" style="3"/>
    <col min="9460" max="9460" width="3.1796875" style="3" customWidth="1"/>
    <col min="9461" max="9462" width="18.54296875" style="3" customWidth="1"/>
    <col min="9463" max="9463" width="2.81640625" style="3" customWidth="1"/>
    <col min="9464" max="9464" width="19.1796875" style="3" customWidth="1"/>
    <col min="9465" max="9465" width="1.54296875" style="3" customWidth="1"/>
    <col min="9466" max="9466" width="20.453125" style="3" customWidth="1"/>
    <col min="9467" max="9467" width="12.81640625" style="3" customWidth="1"/>
    <col min="9468" max="9468" width="3" style="3" customWidth="1"/>
    <col min="9469" max="9469" width="8.453125" style="3" customWidth="1"/>
    <col min="9470" max="9470" width="10.81640625" style="3" customWidth="1"/>
    <col min="9471" max="9471" width="0.81640625" style="3" customWidth="1"/>
    <col min="9472" max="9472" width="8.7265625" style="3"/>
    <col min="9473" max="9479" width="25.1796875" style="3" customWidth="1"/>
    <col min="9480" max="9715" width="8.7265625" style="3"/>
    <col min="9716" max="9716" width="3.1796875" style="3" customWidth="1"/>
    <col min="9717" max="9718" width="18.54296875" style="3" customWidth="1"/>
    <col min="9719" max="9719" width="2.81640625" style="3" customWidth="1"/>
    <col min="9720" max="9720" width="19.1796875" style="3" customWidth="1"/>
    <col min="9721" max="9721" width="1.54296875" style="3" customWidth="1"/>
    <col min="9722" max="9722" width="20.453125" style="3" customWidth="1"/>
    <col min="9723" max="9723" width="12.81640625" style="3" customWidth="1"/>
    <col min="9724" max="9724" width="3" style="3" customWidth="1"/>
    <col min="9725" max="9725" width="8.453125" style="3" customWidth="1"/>
    <col min="9726" max="9726" width="10.81640625" style="3" customWidth="1"/>
    <col min="9727" max="9727" width="0.81640625" style="3" customWidth="1"/>
    <col min="9728" max="9728" width="8.7265625" style="3"/>
    <col min="9729" max="9735" width="25.1796875" style="3" customWidth="1"/>
    <col min="9736" max="9971" width="8.7265625" style="3"/>
    <col min="9972" max="9972" width="3.1796875" style="3" customWidth="1"/>
    <col min="9973" max="9974" width="18.54296875" style="3" customWidth="1"/>
    <col min="9975" max="9975" width="2.81640625" style="3" customWidth="1"/>
    <col min="9976" max="9976" width="19.1796875" style="3" customWidth="1"/>
    <col min="9977" max="9977" width="1.54296875" style="3" customWidth="1"/>
    <col min="9978" max="9978" width="20.453125" style="3" customWidth="1"/>
    <col min="9979" max="9979" width="12.81640625" style="3" customWidth="1"/>
    <col min="9980" max="9980" width="3" style="3" customWidth="1"/>
    <col min="9981" max="9981" width="8.453125" style="3" customWidth="1"/>
    <col min="9982" max="9982" width="10.81640625" style="3" customWidth="1"/>
    <col min="9983" max="9983" width="0.81640625" style="3" customWidth="1"/>
    <col min="9984" max="9984" width="8.7265625" style="3"/>
    <col min="9985" max="9991" width="25.1796875" style="3" customWidth="1"/>
    <col min="9992" max="10227" width="8.7265625" style="3"/>
    <col min="10228" max="10228" width="3.1796875" style="3" customWidth="1"/>
    <col min="10229" max="10230" width="18.54296875" style="3" customWidth="1"/>
    <col min="10231" max="10231" width="2.81640625" style="3" customWidth="1"/>
    <col min="10232" max="10232" width="19.1796875" style="3" customWidth="1"/>
    <col min="10233" max="10233" width="1.54296875" style="3" customWidth="1"/>
    <col min="10234" max="10234" width="20.453125" style="3" customWidth="1"/>
    <col min="10235" max="10235" width="12.81640625" style="3" customWidth="1"/>
    <col min="10236" max="10236" width="3" style="3" customWidth="1"/>
    <col min="10237" max="10237" width="8.453125" style="3" customWidth="1"/>
    <col min="10238" max="10238" width="10.81640625" style="3" customWidth="1"/>
    <col min="10239" max="10239" width="0.81640625" style="3" customWidth="1"/>
    <col min="10240" max="10240" width="8.7265625" style="3"/>
    <col min="10241" max="10247" width="25.1796875" style="3" customWidth="1"/>
    <col min="10248" max="10483" width="8.7265625" style="3"/>
    <col min="10484" max="10484" width="3.1796875" style="3" customWidth="1"/>
    <col min="10485" max="10486" width="18.54296875" style="3" customWidth="1"/>
    <col min="10487" max="10487" width="2.81640625" style="3" customWidth="1"/>
    <col min="10488" max="10488" width="19.1796875" style="3" customWidth="1"/>
    <col min="10489" max="10489" width="1.54296875" style="3" customWidth="1"/>
    <col min="10490" max="10490" width="20.453125" style="3" customWidth="1"/>
    <col min="10491" max="10491" width="12.81640625" style="3" customWidth="1"/>
    <col min="10492" max="10492" width="3" style="3" customWidth="1"/>
    <col min="10493" max="10493" width="8.453125" style="3" customWidth="1"/>
    <col min="10494" max="10494" width="10.81640625" style="3" customWidth="1"/>
    <col min="10495" max="10495" width="0.81640625" style="3" customWidth="1"/>
    <col min="10496" max="10496" width="8.7265625" style="3"/>
    <col min="10497" max="10503" width="25.1796875" style="3" customWidth="1"/>
    <col min="10504" max="10739" width="8.7265625" style="3"/>
    <col min="10740" max="10740" width="3.1796875" style="3" customWidth="1"/>
    <col min="10741" max="10742" width="18.54296875" style="3" customWidth="1"/>
    <col min="10743" max="10743" width="2.81640625" style="3" customWidth="1"/>
    <col min="10744" max="10744" width="19.1796875" style="3" customWidth="1"/>
    <col min="10745" max="10745" width="1.54296875" style="3" customWidth="1"/>
    <col min="10746" max="10746" width="20.453125" style="3" customWidth="1"/>
    <col min="10747" max="10747" width="12.81640625" style="3" customWidth="1"/>
    <col min="10748" max="10748" width="3" style="3" customWidth="1"/>
    <col min="10749" max="10749" width="8.453125" style="3" customWidth="1"/>
    <col min="10750" max="10750" width="10.81640625" style="3" customWidth="1"/>
    <col min="10751" max="10751" width="0.81640625" style="3" customWidth="1"/>
    <col min="10752" max="10752" width="8.7265625" style="3"/>
    <col min="10753" max="10759" width="25.1796875" style="3" customWidth="1"/>
    <col min="10760" max="10995" width="8.7265625" style="3"/>
    <col min="10996" max="10996" width="3.1796875" style="3" customWidth="1"/>
    <col min="10997" max="10998" width="18.54296875" style="3" customWidth="1"/>
    <col min="10999" max="10999" width="2.81640625" style="3" customWidth="1"/>
    <col min="11000" max="11000" width="19.1796875" style="3" customWidth="1"/>
    <col min="11001" max="11001" width="1.54296875" style="3" customWidth="1"/>
    <col min="11002" max="11002" width="20.453125" style="3" customWidth="1"/>
    <col min="11003" max="11003" width="12.81640625" style="3" customWidth="1"/>
    <col min="11004" max="11004" width="3" style="3" customWidth="1"/>
    <col min="11005" max="11005" width="8.453125" style="3" customWidth="1"/>
    <col min="11006" max="11006" width="10.81640625" style="3" customWidth="1"/>
    <col min="11007" max="11007" width="0.81640625" style="3" customWidth="1"/>
    <col min="11008" max="11008" width="8.7265625" style="3"/>
    <col min="11009" max="11015" width="25.1796875" style="3" customWidth="1"/>
    <col min="11016" max="11251" width="8.7265625" style="3"/>
    <col min="11252" max="11252" width="3.1796875" style="3" customWidth="1"/>
    <col min="11253" max="11254" width="18.54296875" style="3" customWidth="1"/>
    <col min="11255" max="11255" width="2.81640625" style="3" customWidth="1"/>
    <col min="11256" max="11256" width="19.1796875" style="3" customWidth="1"/>
    <col min="11257" max="11257" width="1.54296875" style="3" customWidth="1"/>
    <col min="11258" max="11258" width="20.453125" style="3" customWidth="1"/>
    <col min="11259" max="11259" width="12.81640625" style="3" customWidth="1"/>
    <col min="11260" max="11260" width="3" style="3" customWidth="1"/>
    <col min="11261" max="11261" width="8.453125" style="3" customWidth="1"/>
    <col min="11262" max="11262" width="10.81640625" style="3" customWidth="1"/>
    <col min="11263" max="11263" width="0.81640625" style="3" customWidth="1"/>
    <col min="11264" max="11264" width="8.7265625" style="3"/>
    <col min="11265" max="11271" width="25.1796875" style="3" customWidth="1"/>
    <col min="11272" max="11507" width="8.7265625" style="3"/>
    <col min="11508" max="11508" width="3.1796875" style="3" customWidth="1"/>
    <col min="11509" max="11510" width="18.54296875" style="3" customWidth="1"/>
    <col min="11511" max="11511" width="2.81640625" style="3" customWidth="1"/>
    <col min="11512" max="11512" width="19.1796875" style="3" customWidth="1"/>
    <col min="11513" max="11513" width="1.54296875" style="3" customWidth="1"/>
    <col min="11514" max="11514" width="20.453125" style="3" customWidth="1"/>
    <col min="11515" max="11515" width="12.81640625" style="3" customWidth="1"/>
    <col min="11516" max="11516" width="3" style="3" customWidth="1"/>
    <col min="11517" max="11517" width="8.453125" style="3" customWidth="1"/>
    <col min="11518" max="11518" width="10.81640625" style="3" customWidth="1"/>
    <col min="11519" max="11519" width="0.81640625" style="3" customWidth="1"/>
    <col min="11520" max="11520" width="8.7265625" style="3"/>
    <col min="11521" max="11527" width="25.1796875" style="3" customWidth="1"/>
    <col min="11528" max="11763" width="8.7265625" style="3"/>
    <col min="11764" max="11764" width="3.1796875" style="3" customWidth="1"/>
    <col min="11765" max="11766" width="18.54296875" style="3" customWidth="1"/>
    <col min="11767" max="11767" width="2.81640625" style="3" customWidth="1"/>
    <col min="11768" max="11768" width="19.1796875" style="3" customWidth="1"/>
    <col min="11769" max="11769" width="1.54296875" style="3" customWidth="1"/>
    <col min="11770" max="11770" width="20.453125" style="3" customWidth="1"/>
    <col min="11771" max="11771" width="12.81640625" style="3" customWidth="1"/>
    <col min="11772" max="11772" width="3" style="3" customWidth="1"/>
    <col min="11773" max="11773" width="8.453125" style="3" customWidth="1"/>
    <col min="11774" max="11774" width="10.81640625" style="3" customWidth="1"/>
    <col min="11775" max="11775" width="0.81640625" style="3" customWidth="1"/>
    <col min="11776" max="11776" width="8.7265625" style="3"/>
    <col min="11777" max="11783" width="25.1796875" style="3" customWidth="1"/>
    <col min="11784" max="12019" width="8.7265625" style="3"/>
    <col min="12020" max="12020" width="3.1796875" style="3" customWidth="1"/>
    <col min="12021" max="12022" width="18.54296875" style="3" customWidth="1"/>
    <col min="12023" max="12023" width="2.81640625" style="3" customWidth="1"/>
    <col min="12024" max="12024" width="19.1796875" style="3" customWidth="1"/>
    <col min="12025" max="12025" width="1.54296875" style="3" customWidth="1"/>
    <col min="12026" max="12026" width="20.453125" style="3" customWidth="1"/>
    <col min="12027" max="12027" width="12.81640625" style="3" customWidth="1"/>
    <col min="12028" max="12028" width="3" style="3" customWidth="1"/>
    <col min="12029" max="12029" width="8.453125" style="3" customWidth="1"/>
    <col min="12030" max="12030" width="10.81640625" style="3" customWidth="1"/>
    <col min="12031" max="12031" width="0.81640625" style="3" customWidth="1"/>
    <col min="12032" max="12032" width="8.7265625" style="3"/>
    <col min="12033" max="12039" width="25.1796875" style="3" customWidth="1"/>
    <col min="12040" max="12275" width="8.7265625" style="3"/>
    <col min="12276" max="12276" width="3.1796875" style="3" customWidth="1"/>
    <col min="12277" max="12278" width="18.54296875" style="3" customWidth="1"/>
    <col min="12279" max="12279" width="2.81640625" style="3" customWidth="1"/>
    <col min="12280" max="12280" width="19.1796875" style="3" customWidth="1"/>
    <col min="12281" max="12281" width="1.54296875" style="3" customWidth="1"/>
    <col min="12282" max="12282" width="20.453125" style="3" customWidth="1"/>
    <col min="12283" max="12283" width="12.81640625" style="3" customWidth="1"/>
    <col min="12284" max="12284" width="3" style="3" customWidth="1"/>
    <col min="12285" max="12285" width="8.453125" style="3" customWidth="1"/>
    <col min="12286" max="12286" width="10.81640625" style="3" customWidth="1"/>
    <col min="12287" max="12287" width="0.81640625" style="3" customWidth="1"/>
    <col min="12288" max="12288" width="8.7265625" style="3"/>
    <col min="12289" max="12295" width="25.1796875" style="3" customWidth="1"/>
    <col min="12296" max="12531" width="8.7265625" style="3"/>
    <col min="12532" max="12532" width="3.1796875" style="3" customWidth="1"/>
    <col min="12533" max="12534" width="18.54296875" style="3" customWidth="1"/>
    <col min="12535" max="12535" width="2.81640625" style="3" customWidth="1"/>
    <col min="12536" max="12536" width="19.1796875" style="3" customWidth="1"/>
    <col min="12537" max="12537" width="1.54296875" style="3" customWidth="1"/>
    <col min="12538" max="12538" width="20.453125" style="3" customWidth="1"/>
    <col min="12539" max="12539" width="12.81640625" style="3" customWidth="1"/>
    <col min="12540" max="12540" width="3" style="3" customWidth="1"/>
    <col min="12541" max="12541" width="8.453125" style="3" customWidth="1"/>
    <col min="12542" max="12542" width="10.81640625" style="3" customWidth="1"/>
    <col min="12543" max="12543" width="0.81640625" style="3" customWidth="1"/>
    <col min="12544" max="12544" width="8.7265625" style="3"/>
    <col min="12545" max="12551" width="25.1796875" style="3" customWidth="1"/>
    <col min="12552" max="12787" width="8.7265625" style="3"/>
    <col min="12788" max="12788" width="3.1796875" style="3" customWidth="1"/>
    <col min="12789" max="12790" width="18.54296875" style="3" customWidth="1"/>
    <col min="12791" max="12791" width="2.81640625" style="3" customWidth="1"/>
    <col min="12792" max="12792" width="19.1796875" style="3" customWidth="1"/>
    <col min="12793" max="12793" width="1.54296875" style="3" customWidth="1"/>
    <col min="12794" max="12794" width="20.453125" style="3" customWidth="1"/>
    <col min="12795" max="12795" width="12.81640625" style="3" customWidth="1"/>
    <col min="12796" max="12796" width="3" style="3" customWidth="1"/>
    <col min="12797" max="12797" width="8.453125" style="3" customWidth="1"/>
    <col min="12798" max="12798" width="10.81640625" style="3" customWidth="1"/>
    <col min="12799" max="12799" width="0.81640625" style="3" customWidth="1"/>
    <col min="12800" max="12800" width="8.7265625" style="3"/>
    <col min="12801" max="12807" width="25.1796875" style="3" customWidth="1"/>
    <col min="12808" max="13043" width="8.7265625" style="3"/>
    <col min="13044" max="13044" width="3.1796875" style="3" customWidth="1"/>
    <col min="13045" max="13046" width="18.54296875" style="3" customWidth="1"/>
    <col min="13047" max="13047" width="2.81640625" style="3" customWidth="1"/>
    <col min="13048" max="13048" width="19.1796875" style="3" customWidth="1"/>
    <col min="13049" max="13049" width="1.54296875" style="3" customWidth="1"/>
    <col min="13050" max="13050" width="20.453125" style="3" customWidth="1"/>
    <col min="13051" max="13051" width="12.81640625" style="3" customWidth="1"/>
    <col min="13052" max="13052" width="3" style="3" customWidth="1"/>
    <col min="13053" max="13053" width="8.453125" style="3" customWidth="1"/>
    <col min="13054" max="13054" width="10.81640625" style="3" customWidth="1"/>
    <col min="13055" max="13055" width="0.81640625" style="3" customWidth="1"/>
    <col min="13056" max="13056" width="8.7265625" style="3"/>
    <col min="13057" max="13063" width="25.1796875" style="3" customWidth="1"/>
    <col min="13064" max="13299" width="8.7265625" style="3"/>
    <col min="13300" max="13300" width="3.1796875" style="3" customWidth="1"/>
    <col min="13301" max="13302" width="18.54296875" style="3" customWidth="1"/>
    <col min="13303" max="13303" width="2.81640625" style="3" customWidth="1"/>
    <col min="13304" max="13304" width="19.1796875" style="3" customWidth="1"/>
    <col min="13305" max="13305" width="1.54296875" style="3" customWidth="1"/>
    <col min="13306" max="13306" width="20.453125" style="3" customWidth="1"/>
    <col min="13307" max="13307" width="12.81640625" style="3" customWidth="1"/>
    <col min="13308" max="13308" width="3" style="3" customWidth="1"/>
    <col min="13309" max="13309" width="8.453125" style="3" customWidth="1"/>
    <col min="13310" max="13310" width="10.81640625" style="3" customWidth="1"/>
    <col min="13311" max="13311" width="0.81640625" style="3" customWidth="1"/>
    <col min="13312" max="13312" width="8.7265625" style="3"/>
    <col min="13313" max="13319" width="25.1796875" style="3" customWidth="1"/>
    <col min="13320" max="13555" width="8.7265625" style="3"/>
    <col min="13556" max="13556" width="3.1796875" style="3" customWidth="1"/>
    <col min="13557" max="13558" width="18.54296875" style="3" customWidth="1"/>
    <col min="13559" max="13559" width="2.81640625" style="3" customWidth="1"/>
    <col min="13560" max="13560" width="19.1796875" style="3" customWidth="1"/>
    <col min="13561" max="13561" width="1.54296875" style="3" customWidth="1"/>
    <col min="13562" max="13562" width="20.453125" style="3" customWidth="1"/>
    <col min="13563" max="13563" width="12.81640625" style="3" customWidth="1"/>
    <col min="13564" max="13564" width="3" style="3" customWidth="1"/>
    <col min="13565" max="13565" width="8.453125" style="3" customWidth="1"/>
    <col min="13566" max="13566" width="10.81640625" style="3" customWidth="1"/>
    <col min="13567" max="13567" width="0.81640625" style="3" customWidth="1"/>
    <col min="13568" max="13568" width="8.7265625" style="3"/>
    <col min="13569" max="13575" width="25.1796875" style="3" customWidth="1"/>
    <col min="13576" max="13811" width="8.7265625" style="3"/>
    <col min="13812" max="13812" width="3.1796875" style="3" customWidth="1"/>
    <col min="13813" max="13814" width="18.54296875" style="3" customWidth="1"/>
    <col min="13815" max="13815" width="2.81640625" style="3" customWidth="1"/>
    <col min="13816" max="13816" width="19.1796875" style="3" customWidth="1"/>
    <col min="13817" max="13817" width="1.54296875" style="3" customWidth="1"/>
    <col min="13818" max="13818" width="20.453125" style="3" customWidth="1"/>
    <col min="13819" max="13819" width="12.81640625" style="3" customWidth="1"/>
    <col min="13820" max="13820" width="3" style="3" customWidth="1"/>
    <col min="13821" max="13821" width="8.453125" style="3" customWidth="1"/>
    <col min="13822" max="13822" width="10.81640625" style="3" customWidth="1"/>
    <col min="13823" max="13823" width="0.81640625" style="3" customWidth="1"/>
    <col min="13824" max="13824" width="8.7265625" style="3"/>
    <col min="13825" max="13831" width="25.1796875" style="3" customWidth="1"/>
    <col min="13832" max="14067" width="8.7265625" style="3"/>
    <col min="14068" max="14068" width="3.1796875" style="3" customWidth="1"/>
    <col min="14069" max="14070" width="18.54296875" style="3" customWidth="1"/>
    <col min="14071" max="14071" width="2.81640625" style="3" customWidth="1"/>
    <col min="14072" max="14072" width="19.1796875" style="3" customWidth="1"/>
    <col min="14073" max="14073" width="1.54296875" style="3" customWidth="1"/>
    <col min="14074" max="14074" width="20.453125" style="3" customWidth="1"/>
    <col min="14075" max="14075" width="12.81640625" style="3" customWidth="1"/>
    <col min="14076" max="14076" width="3" style="3" customWidth="1"/>
    <col min="14077" max="14077" width="8.453125" style="3" customWidth="1"/>
    <col min="14078" max="14078" width="10.81640625" style="3" customWidth="1"/>
    <col min="14079" max="14079" width="0.81640625" style="3" customWidth="1"/>
    <col min="14080" max="14080" width="8.7265625" style="3"/>
    <col min="14081" max="14087" width="25.1796875" style="3" customWidth="1"/>
    <col min="14088" max="14323" width="8.7265625" style="3"/>
    <col min="14324" max="14324" width="3.1796875" style="3" customWidth="1"/>
    <col min="14325" max="14326" width="18.54296875" style="3" customWidth="1"/>
    <col min="14327" max="14327" width="2.81640625" style="3" customWidth="1"/>
    <col min="14328" max="14328" width="19.1796875" style="3" customWidth="1"/>
    <col min="14329" max="14329" width="1.54296875" style="3" customWidth="1"/>
    <col min="14330" max="14330" width="20.453125" style="3" customWidth="1"/>
    <col min="14331" max="14331" width="12.81640625" style="3" customWidth="1"/>
    <col min="14332" max="14332" width="3" style="3" customWidth="1"/>
    <col min="14333" max="14333" width="8.453125" style="3" customWidth="1"/>
    <col min="14334" max="14334" width="10.81640625" style="3" customWidth="1"/>
    <col min="14335" max="14335" width="0.81640625" style="3" customWidth="1"/>
    <col min="14336" max="14336" width="8.7265625" style="3"/>
    <col min="14337" max="14343" width="25.1796875" style="3" customWidth="1"/>
    <col min="14344" max="14579" width="8.7265625" style="3"/>
    <col min="14580" max="14580" width="3.1796875" style="3" customWidth="1"/>
    <col min="14581" max="14582" width="18.54296875" style="3" customWidth="1"/>
    <col min="14583" max="14583" width="2.81640625" style="3" customWidth="1"/>
    <col min="14584" max="14584" width="19.1796875" style="3" customWidth="1"/>
    <col min="14585" max="14585" width="1.54296875" style="3" customWidth="1"/>
    <col min="14586" max="14586" width="20.453125" style="3" customWidth="1"/>
    <col min="14587" max="14587" width="12.81640625" style="3" customWidth="1"/>
    <col min="14588" max="14588" width="3" style="3" customWidth="1"/>
    <col min="14589" max="14589" width="8.453125" style="3" customWidth="1"/>
    <col min="14590" max="14590" width="10.81640625" style="3" customWidth="1"/>
    <col min="14591" max="14591" width="0.81640625" style="3" customWidth="1"/>
    <col min="14592" max="14592" width="8.7265625" style="3"/>
    <col min="14593" max="14599" width="25.1796875" style="3" customWidth="1"/>
    <col min="14600" max="14835" width="8.7265625" style="3"/>
    <col min="14836" max="14836" width="3.1796875" style="3" customWidth="1"/>
    <col min="14837" max="14838" width="18.54296875" style="3" customWidth="1"/>
    <col min="14839" max="14839" width="2.81640625" style="3" customWidth="1"/>
    <col min="14840" max="14840" width="19.1796875" style="3" customWidth="1"/>
    <col min="14841" max="14841" width="1.54296875" style="3" customWidth="1"/>
    <col min="14842" max="14842" width="20.453125" style="3" customWidth="1"/>
    <col min="14843" max="14843" width="12.81640625" style="3" customWidth="1"/>
    <col min="14844" max="14844" width="3" style="3" customWidth="1"/>
    <col min="14845" max="14845" width="8.453125" style="3" customWidth="1"/>
    <col min="14846" max="14846" width="10.81640625" style="3" customWidth="1"/>
    <col min="14847" max="14847" width="0.81640625" style="3" customWidth="1"/>
    <col min="14848" max="14848" width="8.7265625" style="3"/>
    <col min="14849" max="14855" width="25.1796875" style="3" customWidth="1"/>
    <col min="14856" max="15091" width="8.7265625" style="3"/>
    <col min="15092" max="15092" width="3.1796875" style="3" customWidth="1"/>
    <col min="15093" max="15094" width="18.54296875" style="3" customWidth="1"/>
    <col min="15095" max="15095" width="2.81640625" style="3" customWidth="1"/>
    <col min="15096" max="15096" width="19.1796875" style="3" customWidth="1"/>
    <col min="15097" max="15097" width="1.54296875" style="3" customWidth="1"/>
    <col min="15098" max="15098" width="20.453125" style="3" customWidth="1"/>
    <col min="15099" max="15099" width="12.81640625" style="3" customWidth="1"/>
    <col min="15100" max="15100" width="3" style="3" customWidth="1"/>
    <col min="15101" max="15101" width="8.453125" style="3" customWidth="1"/>
    <col min="15102" max="15102" width="10.81640625" style="3" customWidth="1"/>
    <col min="15103" max="15103" width="0.81640625" style="3" customWidth="1"/>
    <col min="15104" max="15104" width="8.7265625" style="3"/>
    <col min="15105" max="15111" width="25.1796875" style="3" customWidth="1"/>
    <col min="15112" max="15347" width="8.7265625" style="3"/>
    <col min="15348" max="15348" width="3.1796875" style="3" customWidth="1"/>
    <col min="15349" max="15350" width="18.54296875" style="3" customWidth="1"/>
    <col min="15351" max="15351" width="2.81640625" style="3" customWidth="1"/>
    <col min="15352" max="15352" width="19.1796875" style="3" customWidth="1"/>
    <col min="15353" max="15353" width="1.54296875" style="3" customWidth="1"/>
    <col min="15354" max="15354" width="20.453125" style="3" customWidth="1"/>
    <col min="15355" max="15355" width="12.81640625" style="3" customWidth="1"/>
    <col min="15356" max="15356" width="3" style="3" customWidth="1"/>
    <col min="15357" max="15357" width="8.453125" style="3" customWidth="1"/>
    <col min="15358" max="15358" width="10.81640625" style="3" customWidth="1"/>
    <col min="15359" max="15359" width="0.81640625" style="3" customWidth="1"/>
    <col min="15360" max="15360" width="8.7265625" style="3"/>
    <col min="15361" max="15367" width="25.1796875" style="3" customWidth="1"/>
    <col min="15368" max="15603" width="8.7265625" style="3"/>
    <col min="15604" max="15604" width="3.1796875" style="3" customWidth="1"/>
    <col min="15605" max="15606" width="18.54296875" style="3" customWidth="1"/>
    <col min="15607" max="15607" width="2.81640625" style="3" customWidth="1"/>
    <col min="15608" max="15608" width="19.1796875" style="3" customWidth="1"/>
    <col min="15609" max="15609" width="1.54296875" style="3" customWidth="1"/>
    <col min="15610" max="15610" width="20.453125" style="3" customWidth="1"/>
    <col min="15611" max="15611" width="12.81640625" style="3" customWidth="1"/>
    <col min="15612" max="15612" width="3" style="3" customWidth="1"/>
    <col min="15613" max="15613" width="8.453125" style="3" customWidth="1"/>
    <col min="15614" max="15614" width="10.81640625" style="3" customWidth="1"/>
    <col min="15615" max="15615" width="0.81640625" style="3" customWidth="1"/>
    <col min="15616" max="15616" width="8.7265625" style="3"/>
    <col min="15617" max="15623" width="25.1796875" style="3" customWidth="1"/>
    <col min="15624" max="15859" width="8.7265625" style="3"/>
    <col min="15860" max="15860" width="3.1796875" style="3" customWidth="1"/>
    <col min="15861" max="15862" width="18.54296875" style="3" customWidth="1"/>
    <col min="15863" max="15863" width="2.81640625" style="3" customWidth="1"/>
    <col min="15864" max="15864" width="19.1796875" style="3" customWidth="1"/>
    <col min="15865" max="15865" width="1.54296875" style="3" customWidth="1"/>
    <col min="15866" max="15866" width="20.453125" style="3" customWidth="1"/>
    <col min="15867" max="15867" width="12.81640625" style="3" customWidth="1"/>
    <col min="15868" max="15868" width="3" style="3" customWidth="1"/>
    <col min="15869" max="15869" width="8.453125" style="3" customWidth="1"/>
    <col min="15870" max="15870" width="10.81640625" style="3" customWidth="1"/>
    <col min="15871" max="15871" width="0.81640625" style="3" customWidth="1"/>
    <col min="15872" max="15872" width="8.7265625" style="3"/>
    <col min="15873" max="15879" width="25.1796875" style="3" customWidth="1"/>
    <col min="15880" max="16115" width="8.7265625" style="3"/>
    <col min="16116" max="16116" width="3.1796875" style="3" customWidth="1"/>
    <col min="16117" max="16118" width="18.54296875" style="3" customWidth="1"/>
    <col min="16119" max="16119" width="2.81640625" style="3" customWidth="1"/>
    <col min="16120" max="16120" width="19.1796875" style="3" customWidth="1"/>
    <col min="16121" max="16121" width="1.54296875" style="3" customWidth="1"/>
    <col min="16122" max="16122" width="20.453125" style="3" customWidth="1"/>
    <col min="16123" max="16123" width="12.81640625" style="3" customWidth="1"/>
    <col min="16124" max="16124" width="3" style="3" customWidth="1"/>
    <col min="16125" max="16125" width="8.453125" style="3" customWidth="1"/>
    <col min="16126" max="16126" width="10.81640625" style="3" customWidth="1"/>
    <col min="16127" max="16127" width="0.81640625" style="3" customWidth="1"/>
    <col min="16128" max="16128" width="8.7265625" style="3"/>
    <col min="16129" max="16135" width="25.1796875" style="3" customWidth="1"/>
    <col min="16136" max="16371" width="8.7265625" style="3"/>
    <col min="16372" max="16384" width="8.81640625" style="3" customWidth="1"/>
  </cols>
  <sheetData>
    <row r="1" spans="1:16" ht="7.5" customHeight="1" x14ac:dyDescent="0.35">
      <c r="A1" s="1"/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</row>
    <row r="2" spans="1:16" s="5" customFormat="1" ht="86.25" customHeight="1" x14ac:dyDescent="0.35">
      <c r="A2" s="4"/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4"/>
      <c r="M2" s="4"/>
      <c r="N2" s="4"/>
      <c r="O2" s="4"/>
      <c r="P2" s="4"/>
    </row>
    <row r="3" spans="1:16" s="7" customFormat="1" ht="34.5" customHeight="1" x14ac:dyDescent="0.35">
      <c r="A3" s="6"/>
      <c r="B3" s="102" t="s">
        <v>0</v>
      </c>
      <c r="C3" s="101"/>
      <c r="D3" s="101"/>
      <c r="E3" s="101"/>
      <c r="F3" s="101"/>
      <c r="G3" s="101"/>
      <c r="H3" s="101"/>
      <c r="I3" s="101"/>
      <c r="J3" s="101"/>
      <c r="K3" s="101"/>
      <c r="L3" s="6"/>
      <c r="M3" s="6"/>
      <c r="N3" s="6"/>
      <c r="O3" s="6"/>
      <c r="P3" s="6"/>
    </row>
    <row r="4" spans="1:16" s="11" customFormat="1" ht="13.5" customHeight="1" x14ac:dyDescent="0.35">
      <c r="A4" s="8"/>
      <c r="B4" s="103" t="s">
        <v>1</v>
      </c>
      <c r="C4" s="104"/>
      <c r="D4" s="9" t="s">
        <v>2</v>
      </c>
      <c r="E4" s="10" t="s">
        <v>3</v>
      </c>
      <c r="F4" s="10"/>
      <c r="G4" s="103" t="s">
        <v>1</v>
      </c>
      <c r="H4" s="104"/>
      <c r="J4" s="96" t="s">
        <v>3</v>
      </c>
      <c r="K4" s="70"/>
      <c r="L4" s="8"/>
      <c r="M4" s="8"/>
      <c r="N4" s="8"/>
      <c r="O4" s="8"/>
      <c r="P4" s="8"/>
    </row>
    <row r="5" spans="1:16" s="11" customFormat="1" ht="13.5" customHeight="1" x14ac:dyDescent="0.25">
      <c r="A5" s="8"/>
      <c r="B5" s="99" t="s">
        <v>4</v>
      </c>
      <c r="C5" s="86"/>
      <c r="D5" s="13" t="s">
        <v>5</v>
      </c>
      <c r="E5" s="14"/>
      <c r="F5" s="15"/>
      <c r="G5" s="85" t="s">
        <v>6</v>
      </c>
      <c r="H5" s="86"/>
      <c r="I5" s="16" t="s">
        <v>5</v>
      </c>
      <c r="J5" s="95" t="s">
        <v>5</v>
      </c>
      <c r="K5" s="94"/>
      <c r="L5" s="8"/>
      <c r="M5" s="8"/>
      <c r="N5" s="8"/>
      <c r="O5" s="8"/>
      <c r="P5" s="8"/>
    </row>
    <row r="6" spans="1:16" s="11" customFormat="1" ht="13.5" customHeight="1" x14ac:dyDescent="0.25">
      <c r="A6" s="8"/>
      <c r="B6" s="85" t="s">
        <v>7</v>
      </c>
      <c r="C6" s="86"/>
      <c r="D6" s="13"/>
      <c r="E6" s="14"/>
      <c r="F6" s="15"/>
      <c r="G6" s="85" t="s">
        <v>8</v>
      </c>
      <c r="H6" s="86"/>
      <c r="I6" s="17" t="s">
        <v>5</v>
      </c>
      <c r="J6" s="95"/>
      <c r="K6" s="94"/>
      <c r="L6" s="8"/>
      <c r="M6" s="8"/>
      <c r="N6" s="8"/>
      <c r="O6" s="8"/>
      <c r="P6" s="8"/>
    </row>
    <row r="7" spans="1:16" s="11" customFormat="1" ht="13.5" customHeight="1" x14ac:dyDescent="0.25">
      <c r="A7" s="8"/>
      <c r="B7" s="85" t="s">
        <v>9</v>
      </c>
      <c r="C7" s="86"/>
      <c r="D7" s="18" t="s">
        <v>5</v>
      </c>
      <c r="E7" s="14"/>
      <c r="F7" s="15"/>
      <c r="G7" s="85" t="s">
        <v>10</v>
      </c>
      <c r="H7" s="86"/>
      <c r="I7" s="17" t="s">
        <v>5</v>
      </c>
      <c r="J7" s="95"/>
      <c r="K7" s="94"/>
      <c r="L7" s="8"/>
      <c r="M7" s="8"/>
      <c r="N7" s="8"/>
      <c r="O7" s="8"/>
      <c r="P7" s="8"/>
    </row>
    <row r="8" spans="1:16" s="11" customFormat="1" ht="13.5" customHeight="1" x14ac:dyDescent="0.25">
      <c r="A8" s="8"/>
      <c r="B8" s="85" t="s">
        <v>11</v>
      </c>
      <c r="C8" s="86"/>
      <c r="D8" s="13" t="s">
        <v>5</v>
      </c>
      <c r="E8" s="19" t="s">
        <v>12</v>
      </c>
      <c r="F8" s="15"/>
      <c r="G8" s="85" t="s">
        <v>13</v>
      </c>
      <c r="H8" s="86"/>
      <c r="I8" s="17" t="s">
        <v>5</v>
      </c>
      <c r="J8" s="95"/>
      <c r="K8" s="94"/>
      <c r="L8" s="8"/>
      <c r="M8" s="8"/>
      <c r="N8" s="8"/>
      <c r="O8" s="8"/>
      <c r="P8" s="8"/>
    </row>
    <row r="9" spans="1:16" s="11" customFormat="1" ht="13.5" customHeight="1" x14ac:dyDescent="0.25">
      <c r="A9" s="8"/>
      <c r="B9" s="85" t="s">
        <v>14</v>
      </c>
      <c r="C9" s="86"/>
      <c r="D9" s="13" t="s">
        <v>5</v>
      </c>
      <c r="E9" s="14"/>
      <c r="F9" s="15"/>
      <c r="G9" s="96" t="s">
        <v>15</v>
      </c>
      <c r="H9" s="97"/>
      <c r="I9" s="98"/>
      <c r="J9" s="98"/>
      <c r="K9" s="98"/>
      <c r="L9" s="8"/>
      <c r="M9" s="8"/>
      <c r="N9" s="8"/>
      <c r="O9" s="8"/>
      <c r="P9" s="8"/>
    </row>
    <row r="10" spans="1:16" s="11" customFormat="1" ht="13.5" customHeight="1" x14ac:dyDescent="0.25">
      <c r="A10" s="8"/>
      <c r="B10" s="85" t="s">
        <v>16</v>
      </c>
      <c r="C10" s="86"/>
      <c r="D10" s="13" t="s">
        <v>5</v>
      </c>
      <c r="E10" s="21"/>
      <c r="F10" s="22"/>
      <c r="G10" s="87" t="s">
        <v>17</v>
      </c>
      <c r="H10" s="88"/>
      <c r="I10" s="88"/>
      <c r="J10" s="89"/>
      <c r="K10" s="90"/>
      <c r="L10" s="8"/>
      <c r="M10" s="8"/>
      <c r="N10" s="8"/>
      <c r="O10" s="8"/>
      <c r="P10" s="8"/>
    </row>
    <row r="11" spans="1:16" s="11" customFormat="1" ht="13.5" customHeight="1" x14ac:dyDescent="0.25">
      <c r="A11" s="8"/>
      <c r="B11" s="85" t="s">
        <v>18</v>
      </c>
      <c r="C11" s="86"/>
      <c r="D11" s="13" t="s">
        <v>5</v>
      </c>
      <c r="E11" s="23" t="s">
        <v>5</v>
      </c>
      <c r="F11" s="10"/>
      <c r="G11" s="91"/>
      <c r="H11" s="92"/>
      <c r="I11" s="92"/>
      <c r="J11" s="93"/>
      <c r="K11" s="94"/>
      <c r="L11" s="8"/>
      <c r="M11" s="8"/>
      <c r="N11" s="8"/>
      <c r="O11" s="8"/>
      <c r="P11" s="8"/>
    </row>
    <row r="12" spans="1:16" s="12" customFormat="1" ht="5.25" customHeight="1" x14ac:dyDescent="0.35">
      <c r="A12" s="24"/>
      <c r="B12" s="2"/>
      <c r="C12" s="2"/>
      <c r="D12" s="2"/>
      <c r="E12" s="2"/>
      <c r="F12" s="2"/>
      <c r="G12" s="2"/>
      <c r="H12" s="25"/>
      <c r="I12" s="25"/>
      <c r="J12" s="2"/>
      <c r="K12" s="2"/>
      <c r="L12" s="24"/>
      <c r="M12" s="24"/>
      <c r="N12" s="24"/>
      <c r="O12" s="24"/>
      <c r="P12" s="24"/>
    </row>
    <row r="13" spans="1:16" s="12" customFormat="1" ht="18" customHeight="1" x14ac:dyDescent="0.3">
      <c r="A13" s="24"/>
      <c r="B13" s="26" t="s">
        <v>19</v>
      </c>
      <c r="C13" s="81" t="s">
        <v>20</v>
      </c>
      <c r="D13" s="82"/>
      <c r="E13" s="82"/>
      <c r="F13" s="82"/>
      <c r="G13" s="82"/>
      <c r="H13" s="25"/>
      <c r="I13" s="25"/>
      <c r="J13" s="24"/>
      <c r="K13" s="24"/>
      <c r="L13" s="24"/>
      <c r="M13" s="24"/>
      <c r="N13" s="24"/>
      <c r="O13" s="24"/>
      <c r="P13" s="24"/>
    </row>
    <row r="14" spans="1:16" s="12" customFormat="1" ht="18" customHeight="1" x14ac:dyDescent="0.4">
      <c r="A14" s="24"/>
      <c r="B14" s="26" t="s">
        <v>21</v>
      </c>
      <c r="C14" s="79" t="s">
        <v>5</v>
      </c>
      <c r="D14" s="80"/>
      <c r="E14" s="80"/>
      <c r="F14" s="80"/>
      <c r="G14" s="80"/>
      <c r="H14" s="25"/>
      <c r="I14" s="25"/>
      <c r="J14" s="24"/>
      <c r="K14" s="24"/>
      <c r="L14" s="24"/>
      <c r="M14" s="24"/>
      <c r="N14" s="24"/>
      <c r="O14" s="24"/>
      <c r="P14" s="24"/>
    </row>
    <row r="15" spans="1:16" s="12" customFormat="1" ht="18" customHeight="1" x14ac:dyDescent="0.3">
      <c r="A15" s="24"/>
      <c r="B15" s="26" t="s">
        <v>22</v>
      </c>
      <c r="C15" s="81">
        <v>23628</v>
      </c>
      <c r="D15" s="82"/>
      <c r="E15" s="82"/>
      <c r="F15" s="82"/>
      <c r="G15" s="82"/>
      <c r="H15" s="25"/>
      <c r="I15" s="25"/>
      <c r="J15" s="24"/>
      <c r="K15" s="24"/>
      <c r="L15" s="24"/>
      <c r="M15" s="24"/>
      <c r="N15" s="24"/>
      <c r="O15" s="24"/>
      <c r="P15" s="24"/>
    </row>
    <row r="16" spans="1:16" s="12" customFormat="1" ht="18" customHeight="1" x14ac:dyDescent="0.3">
      <c r="A16" s="24"/>
      <c r="B16" s="26" t="s">
        <v>23</v>
      </c>
      <c r="C16" s="65">
        <v>46023</v>
      </c>
      <c r="D16" s="64"/>
      <c r="E16" s="64"/>
      <c r="F16" s="64"/>
      <c r="G16" s="64"/>
      <c r="H16" s="25"/>
      <c r="I16" s="25"/>
      <c r="J16" s="24"/>
      <c r="K16" s="24"/>
      <c r="L16" s="24"/>
      <c r="M16" s="24"/>
      <c r="N16" s="24"/>
      <c r="O16" s="24"/>
      <c r="P16" s="24"/>
    </row>
    <row r="17" spans="1:25" ht="12.75" customHeight="1" x14ac:dyDescent="0.35">
      <c r="A17" s="1"/>
      <c r="B17" s="27" t="s">
        <v>24</v>
      </c>
      <c r="C17" s="1"/>
      <c r="D17" s="1"/>
      <c r="E17" s="1"/>
      <c r="F17" s="1"/>
      <c r="G17" s="2"/>
      <c r="H17" s="2"/>
      <c r="I17" s="2"/>
      <c r="J17" s="2"/>
      <c r="K17" s="2"/>
      <c r="L17" s="2"/>
      <c r="M17" s="2"/>
      <c r="N17" s="2"/>
    </row>
    <row r="18" spans="1:25" ht="12.65" customHeight="1" x14ac:dyDescent="0.35">
      <c r="A18" s="1"/>
      <c r="B18" s="1"/>
      <c r="C18" s="1"/>
      <c r="D18" s="1"/>
      <c r="E18" s="1"/>
      <c r="F18" s="1"/>
      <c r="G18" s="2"/>
      <c r="H18" s="2"/>
      <c r="I18" s="2"/>
      <c r="J18" s="2"/>
      <c r="L18" s="2" t="s">
        <v>25</v>
      </c>
      <c r="M18" s="2" t="s">
        <v>26</v>
      </c>
      <c r="N18" s="2" t="s">
        <v>27</v>
      </c>
      <c r="O18" s="54" t="s">
        <v>28</v>
      </c>
      <c r="P18" s="2" t="s">
        <v>29</v>
      </c>
    </row>
    <row r="19" spans="1:25" s="32" customFormat="1" ht="40" customHeight="1" x14ac:dyDescent="0.35">
      <c r="A19" s="28"/>
      <c r="B19" s="29" t="s">
        <v>30</v>
      </c>
      <c r="C19" s="30" t="s">
        <v>31</v>
      </c>
      <c r="D19" s="83" t="s">
        <v>32</v>
      </c>
      <c r="E19" s="84"/>
      <c r="F19" s="84"/>
      <c r="G19" s="84"/>
      <c r="H19" s="30" t="s">
        <v>33</v>
      </c>
      <c r="I19" s="74" t="s">
        <v>34</v>
      </c>
      <c r="J19" s="75"/>
      <c r="K19" s="31" t="s">
        <v>35</v>
      </c>
      <c r="L19"/>
      <c r="M19">
        <v>1152004</v>
      </c>
      <c r="N19" s="2"/>
      <c r="O19" s="2"/>
      <c r="P19" s="2" t="s">
        <v>34</v>
      </c>
    </row>
    <row r="20" spans="1:25" s="12" customFormat="1" ht="18" customHeight="1" x14ac:dyDescent="0.35">
      <c r="A20" s="24"/>
      <c r="B20" s="33">
        <v>63010</v>
      </c>
      <c r="C20" s="34" t="s">
        <v>36</v>
      </c>
      <c r="D20" s="66" t="s">
        <v>37</v>
      </c>
      <c r="E20" s="66"/>
      <c r="F20" s="66"/>
      <c r="G20" s="66"/>
      <c r="H20" s="53">
        <v>13.8</v>
      </c>
      <c r="I20" s="61">
        <f>ROUND(SUMIFS('REMOVE IN FINAL SHARE-OUT'!$L:$L,'REMOVE IN FINAL SHARE-OUT'!$F:$F,L20,'REMOVE IN FINAL SHARE-OUT'!$B:$B,O20),2)</f>
        <v>13.38</v>
      </c>
      <c r="J20" s="59"/>
      <c r="K20" s="35">
        <f>I20-H20</f>
        <v>-0.41999999999999993</v>
      </c>
      <c r="L20" s="24">
        <v>340776</v>
      </c>
      <c r="M20">
        <v>1152004</v>
      </c>
      <c r="N20" s="36">
        <v>6</v>
      </c>
      <c r="O20" s="24" t="s">
        <v>38</v>
      </c>
      <c r="P20" s="62">
        <f>SUMIFS('REMOVE IN FINAL SHARE-OUT'!$L:$L,'REMOVE IN FINAL SHARE-OUT'!$F:$F,L20,'REMOVE IN FINAL SHARE-OUT'!$B:$B,"EA")</f>
        <v>2.23</v>
      </c>
      <c r="Q20" s="38"/>
      <c r="U20" s="37"/>
      <c r="V20" s="37"/>
      <c r="X20" s="38"/>
    </row>
    <row r="21" spans="1:25" s="12" customFormat="1" ht="18" customHeight="1" x14ac:dyDescent="0.35">
      <c r="B21" s="39" t="s">
        <v>39</v>
      </c>
      <c r="C21" s="40" t="s">
        <v>93</v>
      </c>
      <c r="D21" s="76" t="s">
        <v>40</v>
      </c>
      <c r="E21" s="77"/>
      <c r="F21" s="77"/>
      <c r="G21" s="78"/>
      <c r="H21" s="53">
        <v>15.18</v>
      </c>
      <c r="I21" s="61">
        <f>ROUND(SUMIFS('REMOVE IN FINAL SHARE-OUT'!$L:$L,'REMOVE IN FINAL SHARE-OUT'!$F:$F,L21,'REMOVE IN FINAL SHARE-OUT'!$B:$B,O21),2)</f>
        <v>14.7</v>
      </c>
      <c r="J21" s="60"/>
      <c r="K21" s="35">
        <f>I21-H21</f>
        <v>-0.48000000000000043</v>
      </c>
      <c r="L21" s="12">
        <v>342123</v>
      </c>
      <c r="M21">
        <v>1152004</v>
      </c>
      <c r="N21" s="55">
        <v>6</v>
      </c>
      <c r="O21" s="12" t="s">
        <v>38</v>
      </c>
      <c r="P21" s="62">
        <f>SUMIFS('REMOVE IN FINAL SHARE-OUT'!$L:$L,'REMOVE IN FINAL SHARE-OUT'!$F:$F,L21,'REMOVE IN FINAL SHARE-OUT'!$B:$B,"EA")</f>
        <v>2.4500000000000002</v>
      </c>
      <c r="Q21" s="38"/>
      <c r="U21" s="56"/>
      <c r="V21" s="56"/>
      <c r="X21" s="38"/>
    </row>
    <row r="22" spans="1:25" s="12" customFormat="1" ht="18" customHeight="1" x14ac:dyDescent="0.35">
      <c r="A22" s="24"/>
      <c r="B22" s="33">
        <v>340100</v>
      </c>
      <c r="C22" s="34" t="s">
        <v>41</v>
      </c>
      <c r="D22" s="66" t="s">
        <v>42</v>
      </c>
      <c r="E22" s="66"/>
      <c r="F22" s="66"/>
      <c r="G22" s="66"/>
      <c r="H22" s="53">
        <v>18.440000000000001</v>
      </c>
      <c r="I22" s="61">
        <f>ROUND(SUMIFS('REMOVE IN FINAL SHARE-OUT'!$L:$L,'REMOVE IN FINAL SHARE-OUT'!$F:$F,L22,'REMOVE IN FINAL SHARE-OUT'!$B:$B,O22),2)</f>
        <v>17.920000000000002</v>
      </c>
      <c r="J22" s="59"/>
      <c r="K22" s="35">
        <f t="shared" ref="K22:K36" si="0">I22-H22</f>
        <v>-0.51999999999999957</v>
      </c>
      <c r="L22" s="24">
        <v>340100</v>
      </c>
      <c r="M22">
        <v>1152004</v>
      </c>
      <c r="N22" s="36">
        <v>4</v>
      </c>
      <c r="O22" s="24" t="s">
        <v>38</v>
      </c>
      <c r="P22" s="62">
        <f>SUMIFS('REMOVE IN FINAL SHARE-OUT'!$L:$L,'REMOVE IN FINAL SHARE-OUT'!$F:$F,L22,'REMOVE IN FINAL SHARE-OUT'!$B:$B,"EA")</f>
        <v>4.4800000000000004</v>
      </c>
      <c r="U22" s="37"/>
      <c r="V22" s="37"/>
      <c r="X22" s="38"/>
    </row>
    <row r="23" spans="1:25" s="12" customFormat="1" ht="18" customHeight="1" x14ac:dyDescent="0.35">
      <c r="A23" s="24"/>
      <c r="B23" s="33">
        <v>340789</v>
      </c>
      <c r="C23" s="34" t="s">
        <v>43</v>
      </c>
      <c r="D23" s="66" t="s">
        <v>44</v>
      </c>
      <c r="E23" s="66"/>
      <c r="F23" s="66"/>
      <c r="G23" s="66"/>
      <c r="H23" s="53">
        <v>25.65</v>
      </c>
      <c r="I23" s="61">
        <f>ROUND(SUMIFS('REMOVE IN FINAL SHARE-OUT'!$L:$L,'REMOVE IN FINAL SHARE-OUT'!$F:$F,L23,'REMOVE IN FINAL SHARE-OUT'!$B:$B,O23),2)</f>
        <v>25.02</v>
      </c>
      <c r="J23" s="59"/>
      <c r="K23" s="35">
        <f t="shared" si="0"/>
        <v>-0.62999999999999901</v>
      </c>
      <c r="L23" s="24">
        <v>340789</v>
      </c>
      <c r="M23">
        <v>1152004</v>
      </c>
      <c r="N23" s="36">
        <v>9</v>
      </c>
      <c r="O23" s="24" t="s">
        <v>38</v>
      </c>
      <c r="P23" s="62">
        <f>SUMIFS('REMOVE IN FINAL SHARE-OUT'!$L:$L,'REMOVE IN FINAL SHARE-OUT'!$F:$F,L23,'REMOVE IN FINAL SHARE-OUT'!$B:$B,"EA")</f>
        <v>2.78</v>
      </c>
      <c r="U23" s="37"/>
      <c r="V23" s="37"/>
      <c r="X23" s="38"/>
    </row>
    <row r="24" spans="1:25" s="12" customFormat="1" ht="18" customHeight="1" x14ac:dyDescent="0.35">
      <c r="A24" s="24"/>
      <c r="B24" s="33">
        <v>341091</v>
      </c>
      <c r="C24" s="34" t="s">
        <v>45</v>
      </c>
      <c r="D24" s="66" t="s">
        <v>46</v>
      </c>
      <c r="E24" s="66"/>
      <c r="F24" s="66"/>
      <c r="G24" s="66"/>
      <c r="H24" s="53">
        <v>21.69</v>
      </c>
      <c r="I24" s="61">
        <f>ROUND(SUMIFS('REMOVE IN FINAL SHARE-OUT'!$L:$L,'REMOVE IN FINAL SHARE-OUT'!$F:$F,L24,'REMOVE IN FINAL SHARE-OUT'!$B:$B,O24),2)</f>
        <v>20.97</v>
      </c>
      <c r="J24" s="59"/>
      <c r="K24" s="35">
        <f t="shared" si="0"/>
        <v>-0.72000000000000242</v>
      </c>
      <c r="L24" s="24">
        <v>341656</v>
      </c>
      <c r="M24">
        <v>1152004</v>
      </c>
      <c r="N24" s="36">
        <v>9</v>
      </c>
      <c r="O24" s="24" t="s">
        <v>38</v>
      </c>
      <c r="P24" s="62">
        <f>SUMIFS('REMOVE IN FINAL SHARE-OUT'!$L:$L,'REMOVE IN FINAL SHARE-OUT'!$F:$F,L24,'REMOVE IN FINAL SHARE-OUT'!$B:$B,"EA")</f>
        <v>2.33</v>
      </c>
      <c r="U24" s="37"/>
      <c r="V24" s="37"/>
      <c r="X24" s="38"/>
    </row>
    <row r="25" spans="1:25" s="12" customFormat="1" ht="18" customHeight="1" x14ac:dyDescent="0.35">
      <c r="A25" s="24"/>
      <c r="B25" s="33">
        <v>341092</v>
      </c>
      <c r="C25" s="34" t="s">
        <v>47</v>
      </c>
      <c r="D25" s="66" t="s">
        <v>48</v>
      </c>
      <c r="E25" s="66"/>
      <c r="F25" s="66"/>
      <c r="G25" s="66"/>
      <c r="H25" s="53">
        <v>20.88</v>
      </c>
      <c r="I25" s="61">
        <f>ROUND(SUMIFS('REMOVE IN FINAL SHARE-OUT'!$L:$L,'REMOVE IN FINAL SHARE-OUT'!$F:$F,L25,'REMOVE IN FINAL SHARE-OUT'!$B:$B,O25),2)</f>
        <v>20.16</v>
      </c>
      <c r="J25" s="59"/>
      <c r="K25" s="35">
        <f t="shared" si="0"/>
        <v>-0.71999999999999886</v>
      </c>
      <c r="L25" s="24">
        <v>341657</v>
      </c>
      <c r="M25">
        <v>1152004</v>
      </c>
      <c r="N25" s="36">
        <v>9</v>
      </c>
      <c r="O25" s="24" t="s">
        <v>38</v>
      </c>
      <c r="P25" s="62">
        <f>SUMIFS('REMOVE IN FINAL SHARE-OUT'!$L:$L,'REMOVE IN FINAL SHARE-OUT'!$F:$F,L25,'REMOVE IN FINAL SHARE-OUT'!$B:$B,"EA")</f>
        <v>2.2400000000000002</v>
      </c>
      <c r="U25" s="37"/>
      <c r="V25" s="37"/>
      <c r="X25" s="38"/>
    </row>
    <row r="26" spans="1:25" s="12" customFormat="1" ht="18" customHeight="1" x14ac:dyDescent="0.35">
      <c r="A26" s="24"/>
      <c r="B26" s="33">
        <v>341093</v>
      </c>
      <c r="C26" s="34" t="s">
        <v>49</v>
      </c>
      <c r="D26" s="66" t="s">
        <v>50</v>
      </c>
      <c r="E26" s="66"/>
      <c r="F26" s="66"/>
      <c r="G26" s="66"/>
      <c r="H26" s="53">
        <v>20.07</v>
      </c>
      <c r="I26" s="61">
        <f>ROUND(SUMIFS('REMOVE IN FINAL SHARE-OUT'!$L:$L,'REMOVE IN FINAL SHARE-OUT'!$F:$F,L26,'REMOVE IN FINAL SHARE-OUT'!$B:$B,O26),2)</f>
        <v>19.440000000000001</v>
      </c>
      <c r="J26" s="59"/>
      <c r="K26" s="35">
        <f t="shared" si="0"/>
        <v>-0.62999999999999901</v>
      </c>
      <c r="L26" s="24">
        <v>341658</v>
      </c>
      <c r="M26">
        <v>1152004</v>
      </c>
      <c r="N26" s="36">
        <v>9</v>
      </c>
      <c r="O26" s="24" t="s">
        <v>38</v>
      </c>
      <c r="P26" s="62">
        <f>SUMIFS('REMOVE IN FINAL SHARE-OUT'!$L:$L,'REMOVE IN FINAL SHARE-OUT'!$F:$F,L26,'REMOVE IN FINAL SHARE-OUT'!$B:$B,"EA")</f>
        <v>2.16</v>
      </c>
      <c r="U26" s="37"/>
      <c r="V26" s="37"/>
      <c r="X26" s="38"/>
    </row>
    <row r="27" spans="1:25" s="12" customFormat="1" ht="18" customHeight="1" x14ac:dyDescent="0.35">
      <c r="A27" s="24"/>
      <c r="B27" s="33">
        <v>341094</v>
      </c>
      <c r="C27" s="34" t="s">
        <v>51</v>
      </c>
      <c r="D27" s="66" t="s">
        <v>52</v>
      </c>
      <c r="E27" s="66"/>
      <c r="F27" s="66"/>
      <c r="G27" s="66"/>
      <c r="H27" s="53">
        <v>19.62</v>
      </c>
      <c r="I27" s="61">
        <f>ROUND(SUMIFS('REMOVE IN FINAL SHARE-OUT'!$L:$L,'REMOVE IN FINAL SHARE-OUT'!$F:$F,L27,'REMOVE IN FINAL SHARE-OUT'!$B:$B,O27),2)</f>
        <v>18.989999999999998</v>
      </c>
      <c r="J27" s="59"/>
      <c r="K27" s="35">
        <f t="shared" si="0"/>
        <v>-0.63000000000000256</v>
      </c>
      <c r="L27" s="24">
        <v>341659</v>
      </c>
      <c r="M27">
        <v>1152004</v>
      </c>
      <c r="N27" s="36">
        <v>9</v>
      </c>
      <c r="O27" s="24" t="s">
        <v>38</v>
      </c>
      <c r="P27" s="62">
        <f>SUMIFS('REMOVE IN FINAL SHARE-OUT'!$L:$L,'REMOVE IN FINAL SHARE-OUT'!$F:$F,L27,'REMOVE IN FINAL SHARE-OUT'!$B:$B,"EA")</f>
        <v>2.11</v>
      </c>
      <c r="U27" s="37"/>
      <c r="V27" s="37"/>
      <c r="X27" s="38"/>
    </row>
    <row r="28" spans="1:25" s="12" customFormat="1" ht="18" customHeight="1" x14ac:dyDescent="0.35">
      <c r="B28" s="39">
        <v>351032</v>
      </c>
      <c r="C28" s="40" t="s">
        <v>53</v>
      </c>
      <c r="D28" s="71" t="s">
        <v>54</v>
      </c>
      <c r="E28" s="71"/>
      <c r="F28" s="71"/>
      <c r="G28" s="71"/>
      <c r="H28" s="53">
        <v>296</v>
      </c>
      <c r="I28" s="61">
        <f>ROUND(SUMIFS('REMOVE IN FINAL SHARE-OUT'!$L:$L,'REMOVE IN FINAL SHARE-OUT'!$F:$F,L28,'REMOVE IN FINAL SHARE-OUT'!$B:$B,O28),2)</f>
        <v>283.2</v>
      </c>
      <c r="J28" s="60"/>
      <c r="K28" s="41">
        <f t="shared" si="0"/>
        <v>-12.800000000000011</v>
      </c>
      <c r="L28" s="12">
        <v>351066</v>
      </c>
      <c r="M28">
        <v>1152004</v>
      </c>
      <c r="N28" s="55">
        <v>80</v>
      </c>
      <c r="O28" s="12" t="s">
        <v>55</v>
      </c>
      <c r="P28" s="62">
        <f>SUMIFS('REMOVE IN FINAL SHARE-OUT'!$L:$L,'REMOVE IN FINAL SHARE-OUT'!$F:$F,L28,'REMOVE IN FINAL SHARE-OUT'!$B:$B,"EA")</f>
        <v>3.54</v>
      </c>
      <c r="Q28" s="38"/>
      <c r="U28" s="56"/>
      <c r="V28" s="56"/>
      <c r="X28" s="38"/>
      <c r="Y28" s="57"/>
    </row>
    <row r="29" spans="1:25" s="12" customFormat="1" ht="18" customHeight="1" x14ac:dyDescent="0.35">
      <c r="A29" s="24"/>
      <c r="B29" s="39">
        <v>351033</v>
      </c>
      <c r="C29" s="40" t="s">
        <v>56</v>
      </c>
      <c r="D29" s="71" t="s">
        <v>57</v>
      </c>
      <c r="E29" s="71"/>
      <c r="F29" s="71"/>
      <c r="G29" s="71"/>
      <c r="H29" s="53">
        <v>283.2</v>
      </c>
      <c r="I29" s="61">
        <f>ROUND(SUMIFS('REMOVE IN FINAL SHARE-OUT'!$L:$L,'REMOVE IN FINAL SHARE-OUT'!$F:$F,L29,'REMOVE IN FINAL SHARE-OUT'!$B:$B,O29),2)</f>
        <v>271.2</v>
      </c>
      <c r="J29" s="59"/>
      <c r="K29" s="41">
        <f t="shared" si="0"/>
        <v>-12</v>
      </c>
      <c r="L29" s="24">
        <v>351067</v>
      </c>
      <c r="M29">
        <v>1152004</v>
      </c>
      <c r="N29" s="36">
        <v>80</v>
      </c>
      <c r="O29" s="24" t="s">
        <v>55</v>
      </c>
      <c r="P29" s="62">
        <f>SUMIFS('REMOVE IN FINAL SHARE-OUT'!$L:$L,'REMOVE IN FINAL SHARE-OUT'!$F:$F,L29,'REMOVE IN FINAL SHARE-OUT'!$B:$B,"EA")</f>
        <v>3.39</v>
      </c>
      <c r="U29" s="37"/>
      <c r="V29" s="37"/>
      <c r="X29" s="38"/>
    </row>
    <row r="30" spans="1:25" s="12" customFormat="1" ht="18" customHeight="1" x14ac:dyDescent="0.35">
      <c r="A30" s="24"/>
      <c r="B30" s="39">
        <v>351034</v>
      </c>
      <c r="C30" s="40" t="s">
        <v>58</v>
      </c>
      <c r="D30" s="71" t="s">
        <v>59</v>
      </c>
      <c r="E30" s="71"/>
      <c r="F30" s="71"/>
      <c r="G30" s="71"/>
      <c r="H30" s="53">
        <v>277.60000000000002</v>
      </c>
      <c r="I30" s="61">
        <f>ROUND(SUMIFS('REMOVE IN FINAL SHARE-OUT'!$L:$L,'REMOVE IN FINAL SHARE-OUT'!$F:$F,L30,'REMOVE IN FINAL SHARE-OUT'!$B:$B,O30),2)</f>
        <v>266.39999999999998</v>
      </c>
      <c r="J30" s="59"/>
      <c r="K30" s="41">
        <f t="shared" si="0"/>
        <v>-11.200000000000045</v>
      </c>
      <c r="L30" s="24">
        <v>351068</v>
      </c>
      <c r="M30">
        <v>1152004</v>
      </c>
      <c r="N30" s="36">
        <v>80</v>
      </c>
      <c r="O30" s="24" t="s">
        <v>55</v>
      </c>
      <c r="P30" s="62">
        <f>SUMIFS('REMOVE IN FINAL SHARE-OUT'!$L:$L,'REMOVE IN FINAL SHARE-OUT'!$F:$F,L30,'REMOVE IN FINAL SHARE-OUT'!$B:$B,"EA")</f>
        <v>3.33</v>
      </c>
      <c r="U30" s="37"/>
      <c r="V30" s="37"/>
      <c r="X30" s="38"/>
    </row>
    <row r="31" spans="1:25" s="12" customFormat="1" ht="18" customHeight="1" x14ac:dyDescent="0.35">
      <c r="A31" s="24"/>
      <c r="B31" s="39">
        <v>351035</v>
      </c>
      <c r="C31" s="40" t="s">
        <v>60</v>
      </c>
      <c r="D31" s="71" t="s">
        <v>61</v>
      </c>
      <c r="E31" s="71"/>
      <c r="F31" s="71"/>
      <c r="G31" s="71"/>
      <c r="H31" s="53">
        <v>266.39999999999998</v>
      </c>
      <c r="I31" s="61">
        <f>ROUND(SUMIFS('REMOVE IN FINAL SHARE-OUT'!$L:$L,'REMOVE IN FINAL SHARE-OUT'!$F:$F,L31,'REMOVE IN FINAL SHARE-OUT'!$B:$B,O31),2)</f>
        <v>255.2</v>
      </c>
      <c r="J31" s="59"/>
      <c r="K31" s="41">
        <f t="shared" si="0"/>
        <v>-11.199999999999989</v>
      </c>
      <c r="L31" s="24">
        <v>351069</v>
      </c>
      <c r="M31">
        <v>1152004</v>
      </c>
      <c r="N31" s="36">
        <v>80</v>
      </c>
      <c r="O31" s="24" t="s">
        <v>55</v>
      </c>
      <c r="P31" s="62">
        <f>SUMIFS('REMOVE IN FINAL SHARE-OUT'!$L:$L,'REMOVE IN FINAL SHARE-OUT'!$F:$F,L31,'REMOVE IN FINAL SHARE-OUT'!$B:$B,"EA")</f>
        <v>3.19</v>
      </c>
      <c r="U31" s="37"/>
      <c r="V31" s="37"/>
      <c r="X31" s="38"/>
    </row>
    <row r="32" spans="1:25" s="12" customFormat="1" ht="18" customHeight="1" x14ac:dyDescent="0.35">
      <c r="A32" s="24"/>
      <c r="B32" s="39">
        <v>341687</v>
      </c>
      <c r="C32" s="40" t="s">
        <v>62</v>
      </c>
      <c r="D32" s="71" t="s">
        <v>63</v>
      </c>
      <c r="E32" s="71"/>
      <c r="F32" s="71"/>
      <c r="G32" s="71"/>
      <c r="H32" s="53">
        <v>26.01</v>
      </c>
      <c r="I32" s="61">
        <f>ROUND(SUMIFS('REMOVE IN FINAL SHARE-OUT'!$L:$L,'REMOVE IN FINAL SHARE-OUT'!$F:$F,L32,'REMOVE IN FINAL SHARE-OUT'!$B:$B,O32),2)</f>
        <v>25.38</v>
      </c>
      <c r="J32" s="59"/>
      <c r="K32" s="41">
        <f>I32-H32</f>
        <v>-0.63000000000000256</v>
      </c>
      <c r="L32" s="24">
        <v>341687</v>
      </c>
      <c r="M32">
        <v>1152004</v>
      </c>
      <c r="N32" s="36">
        <v>9</v>
      </c>
      <c r="O32" s="24" t="s">
        <v>38</v>
      </c>
      <c r="P32" s="62">
        <f>SUMIFS('REMOVE IN FINAL SHARE-OUT'!$L:$L,'REMOVE IN FINAL SHARE-OUT'!$F:$F,L32,'REMOVE IN FINAL SHARE-OUT'!$B:$B,"EA")</f>
        <v>2.82</v>
      </c>
      <c r="U32" s="37"/>
      <c r="V32" s="37"/>
      <c r="X32" s="38"/>
    </row>
    <row r="33" spans="1:24" s="12" customFormat="1" ht="18" customHeight="1" x14ac:dyDescent="0.35">
      <c r="A33" s="24"/>
      <c r="B33" s="39">
        <v>341686</v>
      </c>
      <c r="C33" s="40" t="s">
        <v>64</v>
      </c>
      <c r="D33" s="71" t="s">
        <v>65</v>
      </c>
      <c r="E33" s="71"/>
      <c r="F33" s="71"/>
      <c r="G33" s="71"/>
      <c r="H33" s="53">
        <v>18.48</v>
      </c>
      <c r="I33" s="61">
        <f>ROUND(SUMIFS('REMOVE IN FINAL SHARE-OUT'!$L:$L,'REMOVE IN FINAL SHARE-OUT'!$F:$F,L33,'REMOVE IN FINAL SHARE-OUT'!$B:$B,O33),2)</f>
        <v>17.96</v>
      </c>
      <c r="J33" s="59"/>
      <c r="K33" s="41">
        <f t="shared" si="0"/>
        <v>-0.51999999999999957</v>
      </c>
      <c r="L33" s="24">
        <v>341686</v>
      </c>
      <c r="M33">
        <v>1152004</v>
      </c>
      <c r="N33" s="36">
        <v>4</v>
      </c>
      <c r="O33" s="24" t="s">
        <v>38</v>
      </c>
      <c r="P33" s="62">
        <f>SUMIFS('REMOVE IN FINAL SHARE-OUT'!$L:$L,'REMOVE IN FINAL SHARE-OUT'!$F:$F,L33,'REMOVE IN FINAL SHARE-OUT'!$B:$B,"EA")</f>
        <v>4.49</v>
      </c>
      <c r="U33" s="37"/>
      <c r="V33" s="37"/>
      <c r="X33" s="38"/>
    </row>
    <row r="34" spans="1:24" s="12" customFormat="1" ht="18" customHeight="1" x14ac:dyDescent="0.35">
      <c r="A34" s="24"/>
      <c r="B34" s="39">
        <v>350122</v>
      </c>
      <c r="C34" s="40" t="s">
        <v>66</v>
      </c>
      <c r="D34" s="71" t="s">
        <v>67</v>
      </c>
      <c r="E34" s="71"/>
      <c r="F34" s="71"/>
      <c r="G34" s="71"/>
      <c r="H34" s="53">
        <v>300</v>
      </c>
      <c r="I34" s="61">
        <f>ROUND(SUMIFS('REMOVE IN FINAL SHARE-OUT'!$L:$L,'REMOVE IN FINAL SHARE-OUT'!$F:$F,L34,'REMOVE IN FINAL SHARE-OUT'!$B:$B,O34),2)</f>
        <v>287.2</v>
      </c>
      <c r="J34" s="59"/>
      <c r="K34" s="41">
        <f t="shared" si="0"/>
        <v>-12.800000000000011</v>
      </c>
      <c r="L34" s="24">
        <v>350122</v>
      </c>
      <c r="M34">
        <v>1152004</v>
      </c>
      <c r="N34" s="36">
        <v>80</v>
      </c>
      <c r="O34" s="24" t="s">
        <v>55</v>
      </c>
      <c r="P34" s="62">
        <f>SUMIFS('REMOVE IN FINAL SHARE-OUT'!$L:$L,'REMOVE IN FINAL SHARE-OUT'!$F:$F,L34,'REMOVE IN FINAL SHARE-OUT'!$B:$B,"EA")</f>
        <v>3.59</v>
      </c>
      <c r="Q34" s="38"/>
      <c r="U34" s="37"/>
      <c r="V34" s="37"/>
      <c r="X34" s="38"/>
    </row>
    <row r="35" spans="1:24" s="12" customFormat="1" ht="18" customHeight="1" x14ac:dyDescent="0.35">
      <c r="A35" s="24"/>
      <c r="B35" s="39">
        <v>350123</v>
      </c>
      <c r="C35" s="40" t="s">
        <v>108</v>
      </c>
      <c r="D35" s="71" t="s">
        <v>68</v>
      </c>
      <c r="E35" s="71"/>
      <c r="F35" s="71"/>
      <c r="G35" s="71"/>
      <c r="H35" s="53">
        <v>288.8</v>
      </c>
      <c r="I35" s="61">
        <f>ROUND(SUMIFS('REMOVE IN FINAL SHARE-OUT'!$L:$L,'REMOVE IN FINAL SHARE-OUT'!$F:$F,L35,'REMOVE IN FINAL SHARE-OUT'!$B:$B,O35),2)</f>
        <v>276.8</v>
      </c>
      <c r="J35" s="59"/>
      <c r="K35" s="41">
        <f t="shared" si="0"/>
        <v>-12</v>
      </c>
      <c r="L35" s="24">
        <v>350123</v>
      </c>
      <c r="M35">
        <v>1152004</v>
      </c>
      <c r="N35" s="42">
        <v>80</v>
      </c>
      <c r="O35" s="24" t="s">
        <v>55</v>
      </c>
      <c r="P35" s="62">
        <f>SUMIFS('REMOVE IN FINAL SHARE-OUT'!$L:$L,'REMOVE IN FINAL SHARE-OUT'!$F:$F,L35,'REMOVE IN FINAL SHARE-OUT'!$B:$B,"EA")</f>
        <v>3.46</v>
      </c>
      <c r="Q35" s="38"/>
      <c r="U35" s="37"/>
      <c r="V35" s="37"/>
      <c r="X35" s="38"/>
    </row>
    <row r="36" spans="1:24" s="12" customFormat="1" ht="18" customHeight="1" x14ac:dyDescent="0.35">
      <c r="A36" s="24"/>
      <c r="B36" s="39">
        <v>350124</v>
      </c>
      <c r="C36" s="40" t="s">
        <v>109</v>
      </c>
      <c r="D36" s="71" t="s">
        <v>69</v>
      </c>
      <c r="E36" s="71"/>
      <c r="F36" s="71"/>
      <c r="G36" s="71"/>
      <c r="H36" s="53">
        <v>260</v>
      </c>
      <c r="I36" s="61">
        <f>ROUND(SUMIFS('REMOVE IN FINAL SHARE-OUT'!$L:$L,'REMOVE IN FINAL SHARE-OUT'!$F:$F,L36,'REMOVE IN FINAL SHARE-OUT'!$B:$B,O36),2)</f>
        <v>248.8</v>
      </c>
      <c r="J36" s="59"/>
      <c r="K36" s="41">
        <f t="shared" si="0"/>
        <v>-11.199999999999989</v>
      </c>
      <c r="L36" s="24">
        <v>350124</v>
      </c>
      <c r="M36">
        <v>1152004</v>
      </c>
      <c r="N36" s="36">
        <v>80</v>
      </c>
      <c r="O36" s="24" t="s">
        <v>55</v>
      </c>
      <c r="P36" s="62">
        <f>SUMIFS('REMOVE IN FINAL SHARE-OUT'!$L:$L,'REMOVE IN FINAL SHARE-OUT'!$F:$F,L36,'REMOVE IN FINAL SHARE-OUT'!$B:$B,"EA")</f>
        <v>3.11</v>
      </c>
      <c r="Q36" s="38"/>
      <c r="U36" s="37"/>
      <c r="V36" s="37"/>
      <c r="X36" s="38"/>
    </row>
    <row r="37" spans="1:24" s="12" customFormat="1" ht="18" customHeight="1" x14ac:dyDescent="0.35">
      <c r="A37" s="24"/>
      <c r="B37" s="39"/>
      <c r="C37" s="40"/>
      <c r="D37" s="71"/>
      <c r="E37" s="71"/>
      <c r="F37" s="71"/>
      <c r="G37" s="71"/>
      <c r="H37" s="43"/>
      <c r="I37" s="72"/>
      <c r="J37" s="73"/>
      <c r="K37" s="35"/>
      <c r="L37" s="24"/>
      <c r="M37"/>
      <c r="N37" s="36"/>
      <c r="O37" s="24"/>
      <c r="P37" s="24"/>
      <c r="U37" s="37"/>
      <c r="V37" s="37"/>
    </row>
    <row r="38" spans="1:24" s="12" customFormat="1" ht="18" customHeight="1" x14ac:dyDescent="0.3">
      <c r="A38" s="24"/>
      <c r="B38" s="33"/>
      <c r="C38" s="34"/>
      <c r="D38" s="66"/>
      <c r="E38" s="66"/>
      <c r="F38" s="66"/>
      <c r="G38" s="66"/>
      <c r="H38" s="44"/>
      <c r="I38" s="67"/>
      <c r="J38" s="68"/>
      <c r="K38" s="45"/>
      <c r="L38" s="24"/>
      <c r="M38" s="24"/>
      <c r="N38" s="24"/>
      <c r="O38" s="24"/>
      <c r="P38" s="24"/>
    </row>
    <row r="39" spans="1:24" s="12" customFormat="1" ht="18" customHeight="1" x14ac:dyDescent="0.3">
      <c r="A39" s="24"/>
      <c r="B39" s="33"/>
      <c r="C39" s="34"/>
      <c r="D39" s="66"/>
      <c r="E39" s="66"/>
      <c r="F39" s="66"/>
      <c r="G39" s="66"/>
      <c r="H39" s="44"/>
      <c r="I39" s="67"/>
      <c r="J39" s="68"/>
      <c r="K39" s="45"/>
      <c r="L39" s="24"/>
      <c r="M39" s="24"/>
      <c r="N39" s="24"/>
      <c r="O39" s="24"/>
      <c r="P39" s="24"/>
    </row>
    <row r="40" spans="1:24" s="12" customFormat="1" ht="5.25" customHeight="1" x14ac:dyDescent="0.3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</row>
    <row r="41" spans="1:24" s="12" customFormat="1" ht="15" customHeight="1" x14ac:dyDescent="0.35">
      <c r="A41" s="24"/>
      <c r="B41" s="46" t="s">
        <v>70</v>
      </c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24" s="12" customFormat="1" ht="14.9" customHeight="1" x14ac:dyDescent="0.35">
      <c r="A42" s="24"/>
      <c r="B42" s="46" t="s">
        <v>71</v>
      </c>
      <c r="C42" s="47" t="s">
        <v>5</v>
      </c>
      <c r="D42" s="48" t="s">
        <v>72</v>
      </c>
      <c r="E42" s="49" t="s">
        <v>5</v>
      </c>
      <c r="F42" s="50"/>
      <c r="G42" s="20" t="s">
        <v>73</v>
      </c>
      <c r="H42" s="24" t="s">
        <v>74</v>
      </c>
      <c r="I42" s="24"/>
      <c r="J42" s="69" t="s">
        <v>75</v>
      </c>
      <c r="K42" s="70"/>
      <c r="L42" s="24"/>
      <c r="M42" s="24"/>
      <c r="N42" s="24"/>
      <c r="O42" s="24"/>
      <c r="P42" s="24"/>
    </row>
    <row r="43" spans="1:24" s="12" customFormat="1" ht="1.4" customHeight="1" x14ac:dyDescent="0.35">
      <c r="A43" s="24"/>
      <c r="B43" s="24"/>
      <c r="C43" s="24"/>
      <c r="D43" s="24"/>
      <c r="E43" s="24"/>
      <c r="F43" s="24"/>
      <c r="G43" s="25"/>
      <c r="H43" s="25"/>
      <c r="I43" s="25"/>
      <c r="J43" s="25"/>
      <c r="K43" s="24"/>
      <c r="L43" s="24"/>
      <c r="M43" s="24"/>
      <c r="N43" s="24"/>
      <c r="O43" s="24"/>
      <c r="P43" s="24"/>
    </row>
    <row r="44" spans="1:24" ht="5.25" customHeight="1" x14ac:dyDescent="0.35">
      <c r="A44" s="1"/>
      <c r="B44" s="51"/>
      <c r="C44" s="51"/>
      <c r="D44" s="51"/>
      <c r="E44" s="51"/>
      <c r="F44" s="51"/>
      <c r="G44" s="52"/>
      <c r="H44" s="2"/>
      <c r="I44" s="2"/>
      <c r="J44" s="2"/>
      <c r="K44" s="2"/>
      <c r="L44" s="2"/>
      <c r="M44" s="2"/>
      <c r="N44" s="2"/>
    </row>
    <row r="45" spans="1:24" x14ac:dyDescent="0.35">
      <c r="A45" s="1"/>
      <c r="B45" s="51"/>
      <c r="C45" s="51"/>
      <c r="D45" s="51"/>
      <c r="E45" s="51"/>
      <c r="F45" s="51"/>
      <c r="G45" s="52"/>
      <c r="H45" s="2"/>
      <c r="I45" s="2"/>
      <c r="J45" s="2"/>
      <c r="K45" s="2"/>
      <c r="L45" s="2"/>
      <c r="M45" s="2"/>
      <c r="N45" s="2"/>
    </row>
    <row r="46" spans="1:24" x14ac:dyDescent="0.35">
      <c r="A46" s="1"/>
      <c r="B46" s="51"/>
      <c r="C46" s="51"/>
      <c r="D46" s="51"/>
      <c r="E46" s="51"/>
      <c r="F46" s="51"/>
      <c r="G46" s="52"/>
      <c r="H46" s="2"/>
      <c r="I46" s="2"/>
      <c r="J46" s="2"/>
      <c r="K46" s="2"/>
      <c r="L46" s="2"/>
      <c r="M46" s="2"/>
      <c r="N46" s="2"/>
    </row>
    <row r="47" spans="1:24" x14ac:dyDescent="0.35">
      <c r="A47" s="1"/>
      <c r="B47" s="1"/>
      <c r="C47" s="1"/>
      <c r="D47" s="1"/>
      <c r="E47" s="1"/>
      <c r="F47" s="1"/>
      <c r="G47" s="2"/>
      <c r="H47" s="2"/>
      <c r="I47" s="2"/>
      <c r="J47" s="2"/>
      <c r="K47" s="2"/>
      <c r="L47" s="2"/>
      <c r="M47" s="2"/>
      <c r="N47" s="2"/>
    </row>
    <row r="48" spans="1:24" x14ac:dyDescent="0.35">
      <c r="A48" s="1"/>
      <c r="B48" s="1"/>
      <c r="C48" s="1"/>
      <c r="D48" s="1"/>
      <c r="E48" s="1"/>
      <c r="F48" s="1"/>
      <c r="G48" s="2"/>
      <c r="H48" s="2"/>
      <c r="I48" s="2"/>
      <c r="J48" s="2"/>
      <c r="K48" s="2"/>
      <c r="L48" s="2"/>
      <c r="M48" s="2"/>
      <c r="N48" s="2"/>
    </row>
    <row r="49" spans="1:14" x14ac:dyDescent="0.35">
      <c r="A49" s="1"/>
      <c r="B49" s="1"/>
      <c r="C49" s="1"/>
      <c r="D49" s="1"/>
      <c r="E49" s="1"/>
      <c r="F49" s="1"/>
      <c r="G49" s="2"/>
      <c r="H49" s="2"/>
      <c r="I49" s="2"/>
      <c r="J49" s="2"/>
      <c r="K49" s="2"/>
      <c r="L49" s="2"/>
      <c r="M49" s="2"/>
      <c r="N49" s="2"/>
    </row>
    <row r="50" spans="1:14" x14ac:dyDescent="0.35">
      <c r="A50" s="1"/>
      <c r="B50" s="1"/>
      <c r="C50" s="1"/>
      <c r="D50" s="1"/>
      <c r="E50" s="1"/>
      <c r="F50" s="1"/>
      <c r="G50" s="2"/>
      <c r="H50" s="2"/>
      <c r="I50" s="2"/>
      <c r="J50" s="2"/>
      <c r="K50" s="2"/>
      <c r="L50" s="2"/>
      <c r="M50" s="2"/>
      <c r="N50" s="2"/>
    </row>
    <row r="51" spans="1:14" x14ac:dyDescent="0.35">
      <c r="A51" s="1"/>
      <c r="B51" s="1"/>
      <c r="C51" s="1"/>
      <c r="D51" s="1"/>
      <c r="E51" s="1"/>
      <c r="F51" s="1"/>
      <c r="G51" s="2"/>
      <c r="H51" s="2"/>
      <c r="I51" s="2"/>
      <c r="J51" s="2"/>
      <c r="K51" s="2"/>
      <c r="L51" s="2"/>
      <c r="M51" s="2"/>
      <c r="N51" s="2"/>
    </row>
    <row r="52" spans="1:14" x14ac:dyDescent="0.35">
      <c r="A52" s="1"/>
      <c r="B52" s="1"/>
      <c r="C52" s="1"/>
      <c r="D52" s="1"/>
      <c r="E52" s="1"/>
      <c r="F52" s="1"/>
      <c r="G52" s="2"/>
      <c r="H52" s="2"/>
      <c r="I52" s="2"/>
      <c r="J52" s="2"/>
      <c r="K52" s="2"/>
      <c r="L52" s="2"/>
      <c r="M52" s="2"/>
      <c r="N52" s="2"/>
    </row>
    <row r="53" spans="1:14" x14ac:dyDescent="0.35">
      <c r="A53" s="1"/>
      <c r="B53" s="1"/>
      <c r="C53" s="1"/>
      <c r="D53" s="1"/>
      <c r="E53" s="1"/>
      <c r="F53" s="1"/>
      <c r="G53" s="2"/>
      <c r="H53" s="2"/>
      <c r="I53" s="2"/>
      <c r="J53" s="2"/>
      <c r="K53" s="2"/>
      <c r="L53" s="2"/>
      <c r="M53" s="2"/>
      <c r="N53" s="2"/>
    </row>
    <row r="54" spans="1:14" x14ac:dyDescent="0.35">
      <c r="A54" s="1"/>
      <c r="B54" s="1"/>
      <c r="C54" s="1"/>
      <c r="D54" s="1"/>
      <c r="E54" s="1"/>
      <c r="F54" s="1"/>
      <c r="G54" s="2"/>
      <c r="H54" s="2"/>
      <c r="I54" s="2"/>
      <c r="J54" s="2"/>
      <c r="K54" s="2"/>
      <c r="L54" s="2"/>
      <c r="M54" s="2"/>
      <c r="N54" s="2"/>
    </row>
    <row r="55" spans="1:14" x14ac:dyDescent="0.35">
      <c r="A55" s="1"/>
      <c r="B55" s="1"/>
      <c r="C55" s="1"/>
      <c r="D55" s="1"/>
      <c r="E55" s="1"/>
      <c r="F55" s="1"/>
      <c r="G55" s="2"/>
      <c r="H55" s="2"/>
      <c r="I55" s="2"/>
      <c r="J55" s="2"/>
      <c r="K55" s="2"/>
      <c r="L55" s="2"/>
      <c r="M55" s="2"/>
      <c r="N55" s="2"/>
    </row>
    <row r="56" spans="1:14" x14ac:dyDescent="0.35">
      <c r="A56" s="1"/>
      <c r="B56" s="1"/>
      <c r="C56" s="1"/>
      <c r="D56" s="1"/>
      <c r="E56" s="1"/>
      <c r="F56" s="1"/>
      <c r="G56" s="2"/>
      <c r="H56" s="2"/>
      <c r="I56" s="2"/>
      <c r="J56" s="2"/>
      <c r="K56" s="2"/>
      <c r="L56" s="2"/>
      <c r="M56" s="2"/>
      <c r="N56" s="2"/>
    </row>
    <row r="57" spans="1:14" x14ac:dyDescent="0.35">
      <c r="A57" s="1"/>
      <c r="B57" s="1"/>
      <c r="C57" s="1"/>
      <c r="D57" s="1"/>
      <c r="E57" s="1"/>
      <c r="F57" s="1"/>
      <c r="G57" s="2"/>
      <c r="H57" s="2"/>
      <c r="I57" s="2"/>
      <c r="J57" s="2"/>
      <c r="K57" s="2"/>
      <c r="L57" s="2"/>
      <c r="M57" s="2"/>
      <c r="N57" s="2"/>
    </row>
    <row r="58" spans="1:14" x14ac:dyDescent="0.35">
      <c r="A58" s="1"/>
      <c r="B58" s="1"/>
      <c r="C58" s="1"/>
      <c r="D58" s="1"/>
      <c r="E58" s="1"/>
      <c r="F58" s="1"/>
      <c r="G58" s="2"/>
      <c r="H58" s="2"/>
      <c r="I58" s="2"/>
      <c r="J58" s="2"/>
      <c r="K58" s="2"/>
      <c r="L58" s="2"/>
      <c r="M58" s="2"/>
      <c r="N58" s="2"/>
    </row>
    <row r="59" spans="1:14" x14ac:dyDescent="0.35">
      <c r="A59" s="1"/>
      <c r="B59" s="1"/>
      <c r="C59" s="1"/>
      <c r="D59" s="1"/>
      <c r="E59" s="1"/>
      <c r="F59" s="1"/>
      <c r="G59" s="2"/>
      <c r="H59" s="2"/>
      <c r="I59" s="2"/>
      <c r="J59" s="2"/>
      <c r="K59" s="2"/>
      <c r="L59" s="2"/>
      <c r="M59" s="2"/>
      <c r="N59" s="2"/>
    </row>
    <row r="60" spans="1:14" x14ac:dyDescent="0.35">
      <c r="A60" s="1"/>
      <c r="B60" s="1"/>
      <c r="C60" s="1"/>
      <c r="D60" s="1"/>
      <c r="E60" s="1"/>
      <c r="F60" s="1"/>
      <c r="G60" s="2"/>
      <c r="H60" s="2"/>
      <c r="I60" s="2"/>
      <c r="J60" s="2"/>
      <c r="K60" s="2"/>
      <c r="L60" s="2"/>
      <c r="M60" s="2"/>
      <c r="N60" s="2"/>
    </row>
    <row r="61" spans="1:14" x14ac:dyDescent="0.35">
      <c r="A61" s="1"/>
      <c r="B61" s="1"/>
      <c r="C61" s="1"/>
      <c r="D61" s="1"/>
      <c r="E61" s="1"/>
      <c r="F61" s="1"/>
      <c r="G61" s="2"/>
      <c r="H61" s="2"/>
      <c r="I61" s="2"/>
      <c r="J61" s="2"/>
      <c r="K61" s="2"/>
      <c r="L61" s="2"/>
      <c r="M61" s="2"/>
      <c r="N61" s="2"/>
    </row>
    <row r="62" spans="1:14" x14ac:dyDescent="0.35">
      <c r="A62" s="1"/>
      <c r="B62" s="1"/>
      <c r="C62" s="1"/>
      <c r="D62" s="1"/>
      <c r="E62" s="1"/>
      <c r="F62" s="1"/>
      <c r="G62" s="2"/>
      <c r="H62" s="2"/>
      <c r="I62" s="2"/>
      <c r="J62" s="2"/>
      <c r="K62" s="2"/>
      <c r="L62" s="2"/>
      <c r="M62" s="2"/>
      <c r="N62" s="2"/>
    </row>
    <row r="63" spans="1:14" x14ac:dyDescent="0.35">
      <c r="A63" s="1"/>
      <c r="B63" s="1"/>
      <c r="C63" s="1"/>
      <c r="D63" s="1"/>
      <c r="E63" s="1"/>
      <c r="F63" s="1"/>
      <c r="G63" s="2"/>
      <c r="H63" s="2"/>
      <c r="I63" s="2"/>
      <c r="J63" s="2"/>
      <c r="K63" s="2"/>
      <c r="L63" s="2"/>
      <c r="M63" s="2"/>
      <c r="N63" s="2"/>
    </row>
    <row r="64" spans="1:14" x14ac:dyDescent="0.35">
      <c r="A64" s="1"/>
      <c r="B64" s="1"/>
      <c r="C64" s="1"/>
      <c r="D64" s="1"/>
      <c r="E64" s="1"/>
      <c r="F64" s="1"/>
      <c r="G64" s="2"/>
      <c r="H64" s="2"/>
      <c r="I64" s="2"/>
      <c r="J64" s="2"/>
      <c r="K64" s="2"/>
      <c r="L64" s="2"/>
      <c r="M64" s="2"/>
      <c r="N64" s="2"/>
    </row>
    <row r="65" spans="1:14" x14ac:dyDescent="0.35">
      <c r="A65" s="1"/>
      <c r="B65" s="1"/>
      <c r="C65" s="1"/>
      <c r="D65" s="1"/>
      <c r="E65" s="1"/>
      <c r="F65" s="1"/>
      <c r="G65" s="2"/>
      <c r="H65" s="2"/>
      <c r="I65" s="2"/>
      <c r="J65" s="2"/>
      <c r="K65" s="2"/>
      <c r="L65" s="2"/>
      <c r="M65" s="2"/>
      <c r="N65" s="2"/>
    </row>
    <row r="66" spans="1:14" x14ac:dyDescent="0.35">
      <c r="A66" s="1"/>
      <c r="B66" s="1"/>
      <c r="C66" s="1"/>
      <c r="D66" s="1"/>
      <c r="E66" s="1"/>
      <c r="F66" s="1"/>
      <c r="G66" s="2"/>
      <c r="H66" s="2"/>
      <c r="I66" s="2"/>
      <c r="J66" s="2"/>
      <c r="K66" s="2"/>
      <c r="L66" s="2"/>
      <c r="M66" s="2"/>
      <c r="N66" s="2"/>
    </row>
    <row r="67" spans="1:14" x14ac:dyDescent="0.35">
      <c r="A67" s="1"/>
      <c r="B67" s="1"/>
      <c r="C67" s="1"/>
      <c r="D67" s="1"/>
      <c r="E67" s="1"/>
      <c r="F67" s="1"/>
      <c r="G67" s="2"/>
      <c r="H67" s="2"/>
      <c r="I67" s="2"/>
      <c r="J67" s="2"/>
      <c r="K67" s="2"/>
      <c r="L67" s="2"/>
      <c r="M67" s="2"/>
      <c r="N67" s="2"/>
    </row>
    <row r="68" spans="1:14" x14ac:dyDescent="0.35">
      <c r="A68" s="1"/>
      <c r="B68" s="1"/>
      <c r="C68" s="1"/>
      <c r="D68" s="1"/>
      <c r="E68" s="1"/>
      <c r="F68" s="1"/>
      <c r="G68" s="2"/>
      <c r="H68" s="2"/>
      <c r="I68" s="2"/>
      <c r="J68" s="2"/>
      <c r="K68" s="2"/>
      <c r="L68" s="2"/>
      <c r="M68" s="2"/>
      <c r="N68" s="2"/>
    </row>
    <row r="69" spans="1:14" x14ac:dyDescent="0.35">
      <c r="A69" s="1"/>
      <c r="B69" s="1"/>
      <c r="C69" s="1"/>
      <c r="D69" s="1"/>
      <c r="E69" s="1"/>
      <c r="F69" s="1"/>
      <c r="G69" s="2"/>
      <c r="H69" s="2"/>
      <c r="I69" s="2"/>
      <c r="J69" s="2"/>
      <c r="K69" s="2"/>
      <c r="L69" s="2"/>
      <c r="M69" s="2"/>
      <c r="N69" s="2"/>
    </row>
    <row r="70" spans="1:14" x14ac:dyDescent="0.35">
      <c r="A70" s="1"/>
      <c r="B70" s="1"/>
      <c r="C70" s="1"/>
      <c r="D70" s="1"/>
      <c r="E70" s="1"/>
      <c r="F70" s="1"/>
      <c r="G70" s="2"/>
      <c r="H70" s="2"/>
      <c r="I70" s="2"/>
      <c r="J70" s="2"/>
      <c r="K70" s="2"/>
      <c r="L70" s="2"/>
      <c r="M70" s="2"/>
      <c r="N70" s="2"/>
    </row>
    <row r="71" spans="1:14" x14ac:dyDescent="0.35">
      <c r="A71" s="1"/>
      <c r="B71" s="1"/>
      <c r="C71" s="1"/>
      <c r="D71" s="1"/>
      <c r="E71" s="1"/>
      <c r="F71" s="1"/>
      <c r="G71" s="2"/>
      <c r="H71" s="2"/>
      <c r="I71" s="2"/>
      <c r="J71" s="2"/>
      <c r="K71" s="2"/>
      <c r="L71" s="2"/>
      <c r="M71" s="2"/>
      <c r="N71" s="2"/>
    </row>
    <row r="72" spans="1:14" x14ac:dyDescent="0.35">
      <c r="A72" s="1"/>
      <c r="B72" s="1"/>
      <c r="C72" s="1"/>
      <c r="D72" s="1"/>
      <c r="E72" s="1"/>
      <c r="F72" s="1"/>
      <c r="G72" s="2"/>
      <c r="H72" s="2"/>
      <c r="I72" s="2"/>
      <c r="J72" s="2"/>
      <c r="K72" s="2"/>
      <c r="L72" s="2"/>
      <c r="M72" s="2"/>
      <c r="N72" s="2"/>
    </row>
    <row r="73" spans="1:14" x14ac:dyDescent="0.35">
      <c r="A73" s="1"/>
      <c r="B73" s="1"/>
      <c r="C73" s="1"/>
      <c r="D73" s="1"/>
      <c r="E73" s="1"/>
      <c r="F73" s="1"/>
      <c r="G73" s="2"/>
      <c r="H73" s="2"/>
      <c r="I73" s="2"/>
      <c r="J73" s="2"/>
      <c r="K73" s="2"/>
      <c r="L73" s="2"/>
      <c r="M73" s="2"/>
      <c r="N73" s="2"/>
    </row>
    <row r="74" spans="1:14" x14ac:dyDescent="0.35">
      <c r="A74" s="1"/>
      <c r="B74" s="1"/>
      <c r="C74" s="1"/>
      <c r="D74" s="1"/>
      <c r="E74" s="1"/>
      <c r="F74" s="1"/>
      <c r="G74" s="2"/>
      <c r="H74" s="2"/>
      <c r="I74" s="2"/>
      <c r="J74" s="2"/>
      <c r="K74" s="2"/>
      <c r="L74" s="2"/>
      <c r="M74" s="2"/>
      <c r="N74" s="2"/>
    </row>
    <row r="75" spans="1:14" x14ac:dyDescent="0.35">
      <c r="A75" s="1"/>
      <c r="B75" s="1"/>
      <c r="C75" s="1"/>
      <c r="D75" s="1"/>
      <c r="E75" s="1"/>
      <c r="F75" s="1"/>
      <c r="G75" s="2"/>
      <c r="H75" s="2"/>
      <c r="I75" s="2"/>
      <c r="J75" s="2"/>
      <c r="K75" s="2"/>
      <c r="L75" s="2"/>
      <c r="M75" s="2"/>
      <c r="N75" s="2"/>
    </row>
    <row r="76" spans="1:14" x14ac:dyDescent="0.35">
      <c r="A76" s="1"/>
      <c r="B76" s="1"/>
      <c r="C76" s="1"/>
      <c r="D76" s="1"/>
      <c r="E76" s="1"/>
      <c r="F76" s="1"/>
      <c r="G76" s="2"/>
      <c r="H76" s="2"/>
      <c r="I76" s="2"/>
      <c r="J76" s="2"/>
      <c r="K76" s="2"/>
      <c r="L76" s="2"/>
      <c r="M76" s="2"/>
      <c r="N76" s="2"/>
    </row>
    <row r="77" spans="1:14" x14ac:dyDescent="0.35">
      <c r="A77" s="1"/>
      <c r="B77" s="1"/>
      <c r="C77" s="1"/>
      <c r="D77" s="1"/>
      <c r="E77" s="1"/>
      <c r="F77" s="1"/>
      <c r="G77" s="2"/>
      <c r="H77" s="2"/>
      <c r="I77" s="2"/>
      <c r="J77" s="2"/>
      <c r="K77" s="2"/>
      <c r="L77" s="2"/>
      <c r="M77" s="2"/>
      <c r="N77" s="2"/>
    </row>
    <row r="78" spans="1:14" x14ac:dyDescent="0.35">
      <c r="A78" s="1"/>
      <c r="B78" s="1"/>
      <c r="C78" s="1"/>
      <c r="D78" s="1"/>
      <c r="E78" s="1"/>
      <c r="F78" s="1"/>
      <c r="G78" s="2"/>
      <c r="H78" s="2"/>
      <c r="I78" s="2"/>
      <c r="J78" s="2"/>
      <c r="K78" s="2"/>
      <c r="L78" s="2"/>
      <c r="M78" s="2"/>
      <c r="N78" s="2"/>
    </row>
    <row r="79" spans="1:14" x14ac:dyDescent="0.35">
      <c r="A79" s="1"/>
      <c r="B79" s="1"/>
      <c r="C79" s="1"/>
      <c r="D79" s="1"/>
      <c r="E79" s="1"/>
      <c r="F79" s="1"/>
      <c r="G79" s="2"/>
      <c r="H79" s="2"/>
      <c r="I79" s="2"/>
      <c r="J79" s="2"/>
      <c r="K79" s="2"/>
      <c r="L79" s="2"/>
      <c r="M79" s="2"/>
      <c r="N79" s="2"/>
    </row>
    <row r="80" spans="1:14" x14ac:dyDescent="0.35">
      <c r="A80" s="1"/>
      <c r="B80" s="1"/>
      <c r="C80" s="1"/>
      <c r="D80" s="1"/>
      <c r="E80" s="1"/>
      <c r="F80" s="1"/>
      <c r="G80" s="2"/>
      <c r="H80" s="2"/>
      <c r="I80" s="2"/>
      <c r="J80" s="2"/>
      <c r="K80" s="2"/>
      <c r="L80" s="2"/>
      <c r="M80" s="2"/>
      <c r="N80" s="2"/>
    </row>
    <row r="81" spans="1:14" x14ac:dyDescent="0.35">
      <c r="A81" s="1"/>
      <c r="B81" s="1"/>
      <c r="C81" s="1"/>
      <c r="D81" s="1"/>
      <c r="E81" s="1"/>
      <c r="F81" s="1"/>
      <c r="G81" s="2"/>
      <c r="H81" s="2"/>
      <c r="I81" s="2"/>
      <c r="J81" s="2"/>
      <c r="K81" s="2"/>
      <c r="L81" s="2"/>
      <c r="M81" s="2"/>
      <c r="N81" s="2"/>
    </row>
    <row r="82" spans="1:14" x14ac:dyDescent="0.35">
      <c r="A82" s="1"/>
      <c r="B82" s="1"/>
      <c r="C82" s="1"/>
      <c r="D82" s="1"/>
      <c r="E82" s="1"/>
      <c r="F82" s="1"/>
      <c r="G82" s="2"/>
      <c r="H82" s="2"/>
      <c r="I82" s="2"/>
      <c r="J82" s="2"/>
      <c r="K82" s="2"/>
      <c r="L82" s="2"/>
      <c r="M82" s="2"/>
      <c r="N82" s="2"/>
    </row>
    <row r="83" spans="1:14" x14ac:dyDescent="0.35">
      <c r="A83" s="1"/>
      <c r="B83" s="1"/>
      <c r="C83" s="1"/>
      <c r="D83" s="1"/>
      <c r="E83" s="1"/>
      <c r="F83" s="1"/>
      <c r="G83" s="2"/>
      <c r="H83" s="2"/>
      <c r="I83" s="2"/>
      <c r="J83" s="2"/>
      <c r="K83" s="2"/>
      <c r="L83" s="2"/>
      <c r="M83" s="2"/>
      <c r="N83" s="2"/>
    </row>
    <row r="84" spans="1:14" x14ac:dyDescent="0.35">
      <c r="A84" s="1"/>
      <c r="B84" s="1"/>
      <c r="C84" s="1"/>
      <c r="D84" s="1"/>
      <c r="E84" s="1"/>
      <c r="F84" s="1"/>
      <c r="G84" s="2"/>
      <c r="H84" s="2"/>
      <c r="I84" s="2"/>
      <c r="J84" s="2"/>
      <c r="K84" s="2"/>
      <c r="L84" s="2"/>
      <c r="M84" s="2"/>
      <c r="N84" s="2"/>
    </row>
    <row r="85" spans="1:14" x14ac:dyDescent="0.35">
      <c r="A85" s="1"/>
      <c r="B85" s="1"/>
      <c r="C85" s="1"/>
      <c r="D85" s="1"/>
      <c r="E85" s="1"/>
      <c r="F85" s="1"/>
      <c r="G85" s="2"/>
      <c r="H85" s="2"/>
      <c r="I85" s="2"/>
      <c r="J85" s="2"/>
      <c r="K85" s="2"/>
      <c r="L85" s="2"/>
      <c r="M85" s="2"/>
      <c r="N85" s="2"/>
    </row>
    <row r="86" spans="1:14" x14ac:dyDescent="0.35">
      <c r="A86" s="1"/>
      <c r="B86" s="1"/>
      <c r="C86" s="1"/>
      <c r="D86" s="1"/>
      <c r="E86" s="1"/>
      <c r="F86" s="1"/>
      <c r="G86" s="2"/>
      <c r="H86" s="2"/>
      <c r="I86" s="2"/>
      <c r="J86" s="2"/>
      <c r="K86" s="2"/>
      <c r="L86" s="2"/>
      <c r="M86" s="2"/>
      <c r="N86" s="2"/>
    </row>
    <row r="87" spans="1:14" x14ac:dyDescent="0.35">
      <c r="A87" s="1"/>
      <c r="B87" s="1"/>
      <c r="C87" s="1"/>
      <c r="D87" s="1"/>
      <c r="E87" s="1"/>
      <c r="F87" s="1"/>
      <c r="G87" s="2"/>
      <c r="H87" s="2"/>
      <c r="I87" s="2"/>
      <c r="J87" s="2"/>
      <c r="K87" s="2"/>
      <c r="L87" s="2"/>
      <c r="M87" s="2"/>
      <c r="N87" s="2"/>
    </row>
    <row r="88" spans="1:14" x14ac:dyDescent="0.35">
      <c r="A88" s="1"/>
      <c r="B88" s="1"/>
      <c r="C88" s="1"/>
      <c r="D88" s="1"/>
      <c r="E88" s="1"/>
      <c r="F88" s="1"/>
      <c r="G88" s="2"/>
      <c r="H88" s="2"/>
      <c r="I88" s="2"/>
      <c r="J88" s="2"/>
      <c r="K88" s="2"/>
      <c r="L88" s="2"/>
      <c r="M88" s="2"/>
      <c r="N88" s="2"/>
    </row>
    <row r="89" spans="1:14" x14ac:dyDescent="0.35">
      <c r="A89" s="1"/>
      <c r="B89" s="1"/>
      <c r="C89" s="1"/>
      <c r="D89" s="1"/>
      <c r="E89" s="1"/>
      <c r="F89" s="1"/>
      <c r="G89" s="2"/>
      <c r="H89" s="2"/>
      <c r="I89" s="2"/>
      <c r="J89" s="2"/>
      <c r="K89" s="2"/>
      <c r="L89" s="2"/>
      <c r="M89" s="2"/>
      <c r="N89" s="2"/>
    </row>
    <row r="90" spans="1:14" x14ac:dyDescent="0.35">
      <c r="A90" s="1"/>
      <c r="B90" s="1"/>
      <c r="C90" s="1"/>
      <c r="D90" s="1"/>
      <c r="E90" s="1"/>
      <c r="F90" s="1"/>
      <c r="G90" s="2"/>
      <c r="H90" s="2"/>
      <c r="I90" s="2"/>
      <c r="J90" s="2"/>
      <c r="K90" s="2"/>
      <c r="L90" s="2"/>
      <c r="M90" s="2"/>
      <c r="N90" s="2"/>
    </row>
    <row r="91" spans="1:14" x14ac:dyDescent="0.35">
      <c r="A91" s="1"/>
      <c r="B91" s="1"/>
      <c r="C91" s="1"/>
      <c r="D91" s="1"/>
      <c r="E91" s="1"/>
      <c r="F91" s="1"/>
      <c r="G91" s="2"/>
      <c r="H91" s="2"/>
      <c r="I91" s="2"/>
      <c r="J91" s="2"/>
      <c r="K91" s="2"/>
      <c r="L91" s="2"/>
      <c r="M91" s="2"/>
      <c r="N91" s="2"/>
    </row>
    <row r="92" spans="1:14" x14ac:dyDescent="0.35">
      <c r="A92" s="1"/>
      <c r="B92" s="1"/>
      <c r="C92" s="1"/>
      <c r="D92" s="1"/>
      <c r="E92" s="1"/>
      <c r="F92" s="1"/>
      <c r="G92" s="2"/>
      <c r="H92" s="2"/>
      <c r="I92" s="2"/>
      <c r="J92" s="2"/>
      <c r="K92" s="2"/>
      <c r="L92" s="2"/>
      <c r="M92" s="2"/>
      <c r="N92" s="2"/>
    </row>
    <row r="93" spans="1:14" x14ac:dyDescent="0.35">
      <c r="A93" s="1"/>
      <c r="B93" s="1"/>
      <c r="C93" s="1"/>
      <c r="D93" s="1"/>
      <c r="E93" s="1"/>
      <c r="F93" s="1"/>
      <c r="G93" s="2"/>
      <c r="H93" s="2"/>
      <c r="I93" s="2"/>
      <c r="J93" s="2"/>
      <c r="K93" s="2"/>
      <c r="L93" s="2"/>
      <c r="M93" s="2"/>
      <c r="N93" s="2"/>
    </row>
    <row r="94" spans="1:14" x14ac:dyDescent="0.35">
      <c r="A94" s="1"/>
      <c r="B94" s="1"/>
      <c r="C94" s="1"/>
      <c r="D94" s="1"/>
      <c r="E94" s="1"/>
      <c r="F94" s="1"/>
      <c r="G94" s="2"/>
      <c r="H94" s="2"/>
      <c r="I94" s="2"/>
      <c r="J94" s="2"/>
      <c r="K94" s="2"/>
      <c r="L94" s="2"/>
      <c r="M94" s="2"/>
      <c r="N94" s="2"/>
    </row>
    <row r="95" spans="1:14" x14ac:dyDescent="0.35">
      <c r="A95" s="1"/>
      <c r="B95" s="1"/>
      <c r="C95" s="1"/>
      <c r="D95" s="1"/>
      <c r="E95" s="1"/>
      <c r="F95" s="1"/>
      <c r="G95" s="2"/>
      <c r="H95" s="2"/>
      <c r="I95" s="2"/>
      <c r="J95" s="2"/>
      <c r="K95" s="2"/>
      <c r="L95" s="2"/>
      <c r="M95" s="2"/>
      <c r="N95" s="2"/>
    </row>
    <row r="96" spans="1:14" x14ac:dyDescent="0.35">
      <c r="A96" s="1"/>
      <c r="B96" s="1"/>
      <c r="C96" s="1"/>
      <c r="D96" s="1"/>
      <c r="E96" s="1"/>
      <c r="F96" s="1"/>
      <c r="G96" s="2"/>
      <c r="H96" s="2"/>
      <c r="I96" s="2"/>
      <c r="J96" s="2"/>
      <c r="K96" s="2"/>
      <c r="L96" s="2"/>
      <c r="M96" s="2"/>
      <c r="N96" s="2"/>
    </row>
    <row r="97" spans="1:14" x14ac:dyDescent="0.35">
      <c r="A97" s="1"/>
      <c r="B97" s="1"/>
      <c r="C97" s="1"/>
      <c r="D97" s="1"/>
      <c r="E97" s="1"/>
      <c r="F97" s="1"/>
      <c r="G97" s="2"/>
      <c r="H97" s="2"/>
      <c r="I97" s="2"/>
      <c r="J97" s="2"/>
      <c r="K97" s="2"/>
      <c r="L97" s="2"/>
      <c r="M97" s="2"/>
      <c r="N97" s="2"/>
    </row>
    <row r="98" spans="1:14" x14ac:dyDescent="0.35">
      <c r="A98" s="1"/>
      <c r="B98" s="1"/>
      <c r="C98" s="1"/>
      <c r="D98" s="1"/>
      <c r="E98" s="1"/>
      <c r="F98" s="1"/>
      <c r="G98" s="2"/>
      <c r="H98" s="2"/>
      <c r="I98" s="2"/>
      <c r="J98" s="2"/>
      <c r="K98" s="2"/>
      <c r="L98" s="2"/>
      <c r="M98" s="2"/>
      <c r="N98" s="2"/>
    </row>
    <row r="99" spans="1:14" x14ac:dyDescent="0.35">
      <c r="A99" s="1"/>
      <c r="B99" s="1"/>
      <c r="C99" s="1"/>
      <c r="D99" s="1"/>
      <c r="E99" s="1"/>
      <c r="F99" s="1"/>
      <c r="G99" s="2"/>
      <c r="H99" s="2"/>
      <c r="I99" s="2"/>
      <c r="J99" s="2"/>
      <c r="K99" s="2"/>
      <c r="L99" s="2"/>
      <c r="M99" s="2"/>
      <c r="N99" s="2"/>
    </row>
    <row r="100" spans="1:14" x14ac:dyDescent="0.35">
      <c r="A100" s="1"/>
      <c r="B100" s="1"/>
      <c r="C100" s="1"/>
      <c r="D100" s="1"/>
      <c r="E100" s="1"/>
      <c r="F100" s="1"/>
      <c r="G100" s="2"/>
      <c r="H100" s="2"/>
      <c r="I100" s="2"/>
      <c r="J100" s="2"/>
      <c r="K100" s="2"/>
      <c r="L100" s="2"/>
      <c r="M100" s="2"/>
      <c r="N100" s="2"/>
    </row>
    <row r="101" spans="1:14" x14ac:dyDescent="0.35">
      <c r="A101" s="1"/>
      <c r="B101" s="1"/>
      <c r="C101" s="1"/>
      <c r="D101" s="1"/>
      <c r="E101" s="1"/>
      <c r="F101" s="1"/>
      <c r="G101" s="2"/>
      <c r="H101" s="2"/>
      <c r="I101" s="2"/>
      <c r="J101" s="2"/>
      <c r="K101" s="2"/>
      <c r="L101" s="2"/>
      <c r="M101" s="2"/>
      <c r="N101" s="2"/>
    </row>
    <row r="102" spans="1:14" x14ac:dyDescent="0.35">
      <c r="A102" s="1"/>
      <c r="B102" s="1"/>
      <c r="C102" s="1"/>
      <c r="D102" s="1"/>
      <c r="E102" s="1"/>
      <c r="F102" s="1"/>
      <c r="G102" s="2"/>
      <c r="H102" s="2"/>
      <c r="I102" s="2"/>
      <c r="J102" s="2"/>
      <c r="K102" s="2"/>
      <c r="L102" s="2"/>
      <c r="M102" s="2"/>
      <c r="N102" s="2"/>
    </row>
    <row r="103" spans="1:14" x14ac:dyDescent="0.35">
      <c r="A103" s="1"/>
      <c r="B103" s="1"/>
      <c r="C103" s="1"/>
      <c r="D103" s="1"/>
      <c r="E103" s="1"/>
      <c r="F103" s="1"/>
      <c r="G103" s="2"/>
      <c r="H103" s="2"/>
      <c r="I103" s="2"/>
      <c r="J103" s="2"/>
      <c r="K103" s="2"/>
      <c r="L103" s="2"/>
      <c r="M103" s="2"/>
      <c r="N103" s="2"/>
    </row>
    <row r="104" spans="1:14" x14ac:dyDescent="0.35">
      <c r="A104" s="1"/>
      <c r="B104" s="1"/>
      <c r="C104" s="1"/>
      <c r="D104" s="1"/>
      <c r="E104" s="1"/>
      <c r="F104" s="1"/>
      <c r="G104" s="2"/>
      <c r="H104" s="2"/>
      <c r="I104" s="2"/>
      <c r="J104" s="2"/>
      <c r="K104" s="2"/>
      <c r="L104" s="2"/>
      <c r="M104" s="2"/>
      <c r="N104" s="2"/>
    </row>
    <row r="105" spans="1:14" x14ac:dyDescent="0.35">
      <c r="A105" s="1"/>
      <c r="B105" s="1"/>
      <c r="C105" s="1"/>
      <c r="D105" s="1"/>
      <c r="E105" s="1"/>
      <c r="F105" s="1"/>
      <c r="G105" s="2"/>
      <c r="H105" s="2"/>
      <c r="I105" s="2"/>
      <c r="J105" s="2"/>
      <c r="K105" s="2"/>
      <c r="L105" s="2"/>
      <c r="M105" s="2"/>
      <c r="N105" s="2"/>
    </row>
    <row r="106" spans="1:14" x14ac:dyDescent="0.35">
      <c r="A106" s="1"/>
      <c r="B106" s="1"/>
      <c r="C106" s="1"/>
      <c r="D106" s="1"/>
      <c r="E106" s="1"/>
      <c r="F106" s="1"/>
      <c r="G106" s="2"/>
      <c r="H106" s="2"/>
      <c r="I106" s="2"/>
      <c r="J106" s="2"/>
      <c r="K106" s="2"/>
      <c r="L106" s="2"/>
      <c r="M106" s="2"/>
      <c r="N106" s="2"/>
    </row>
    <row r="107" spans="1:14" x14ac:dyDescent="0.35">
      <c r="A107" s="1"/>
      <c r="B107" s="1"/>
      <c r="C107" s="1"/>
      <c r="D107" s="1"/>
      <c r="E107" s="1"/>
      <c r="F107" s="1"/>
      <c r="G107" s="2"/>
      <c r="H107" s="2"/>
      <c r="I107" s="2"/>
      <c r="J107" s="2"/>
      <c r="K107" s="2"/>
      <c r="L107" s="2"/>
      <c r="M107" s="2"/>
      <c r="N107" s="2"/>
    </row>
    <row r="108" spans="1:14" x14ac:dyDescent="0.35">
      <c r="A108" s="1"/>
      <c r="B108" s="1"/>
      <c r="C108" s="1"/>
      <c r="D108" s="1"/>
      <c r="E108" s="1"/>
      <c r="F108" s="1"/>
      <c r="G108" s="2"/>
      <c r="H108" s="2"/>
      <c r="I108" s="2"/>
      <c r="J108" s="2"/>
      <c r="K108" s="2"/>
      <c r="L108" s="2"/>
      <c r="M108" s="2"/>
      <c r="N108" s="2"/>
    </row>
    <row r="109" spans="1:14" x14ac:dyDescent="0.35">
      <c r="A109" s="1"/>
      <c r="B109" s="1"/>
      <c r="C109" s="1"/>
      <c r="D109" s="1"/>
      <c r="E109" s="1"/>
      <c r="F109" s="1"/>
      <c r="G109" s="2"/>
      <c r="H109" s="2"/>
      <c r="I109" s="2"/>
      <c r="J109" s="2"/>
      <c r="K109" s="2"/>
      <c r="L109" s="2"/>
      <c r="M109" s="2"/>
      <c r="N109" s="2"/>
    </row>
    <row r="110" spans="1:14" x14ac:dyDescent="0.35">
      <c r="A110" s="1"/>
      <c r="B110" s="1"/>
      <c r="C110" s="1"/>
      <c r="D110" s="1"/>
      <c r="E110" s="1"/>
      <c r="F110" s="1"/>
      <c r="G110" s="2"/>
      <c r="H110" s="2"/>
      <c r="I110" s="2"/>
      <c r="J110" s="2"/>
      <c r="K110" s="2"/>
      <c r="L110" s="2"/>
      <c r="M110" s="2"/>
      <c r="N110" s="2"/>
    </row>
    <row r="111" spans="1:14" x14ac:dyDescent="0.35">
      <c r="A111" s="1"/>
      <c r="B111" s="1"/>
      <c r="C111" s="1"/>
      <c r="D111" s="1"/>
      <c r="E111" s="1"/>
      <c r="F111" s="1"/>
      <c r="G111" s="2"/>
      <c r="H111" s="2"/>
      <c r="I111" s="2"/>
      <c r="J111" s="2"/>
      <c r="K111" s="2"/>
      <c r="L111" s="2"/>
      <c r="M111" s="2"/>
      <c r="N111" s="2"/>
    </row>
    <row r="112" spans="1:14" x14ac:dyDescent="0.35">
      <c r="A112" s="1"/>
      <c r="B112" s="1"/>
      <c r="C112" s="1"/>
      <c r="D112" s="1"/>
      <c r="E112" s="1"/>
      <c r="F112" s="1"/>
      <c r="G112" s="2"/>
      <c r="H112" s="2"/>
      <c r="I112" s="2"/>
      <c r="J112" s="2"/>
      <c r="K112" s="2"/>
      <c r="L112" s="2"/>
      <c r="M112" s="2"/>
      <c r="N112" s="2"/>
    </row>
    <row r="113" spans="1:14" x14ac:dyDescent="0.35">
      <c r="A113" s="1"/>
      <c r="B113" s="1"/>
      <c r="C113" s="1"/>
      <c r="D113" s="1"/>
      <c r="E113" s="1"/>
      <c r="F113" s="1"/>
      <c r="G113" s="2"/>
      <c r="H113" s="2"/>
      <c r="I113" s="2"/>
      <c r="J113" s="2"/>
      <c r="K113" s="2"/>
      <c r="L113" s="2"/>
      <c r="M113" s="2"/>
      <c r="N113" s="2"/>
    </row>
    <row r="114" spans="1:14" x14ac:dyDescent="0.35">
      <c r="A114" s="1"/>
      <c r="B114" s="1"/>
      <c r="C114" s="1"/>
      <c r="D114" s="1"/>
      <c r="E114" s="1"/>
      <c r="F114" s="1"/>
      <c r="G114" s="2"/>
      <c r="H114" s="2"/>
      <c r="I114" s="2"/>
      <c r="J114" s="2"/>
      <c r="K114" s="2"/>
      <c r="L114" s="2"/>
      <c r="M114" s="2"/>
      <c r="N114" s="2"/>
    </row>
    <row r="115" spans="1:14" x14ac:dyDescent="0.35">
      <c r="A115" s="1"/>
      <c r="B115" s="1"/>
      <c r="C115" s="1"/>
      <c r="D115" s="1"/>
      <c r="E115" s="1"/>
      <c r="F115" s="1"/>
      <c r="G115" s="2"/>
      <c r="H115" s="2"/>
      <c r="I115" s="2"/>
      <c r="J115" s="2"/>
      <c r="K115" s="2"/>
      <c r="L115" s="2"/>
      <c r="M115" s="2"/>
      <c r="N115" s="2"/>
    </row>
    <row r="116" spans="1:14" x14ac:dyDescent="0.35">
      <c r="A116" s="1"/>
      <c r="B116" s="1"/>
      <c r="C116" s="1"/>
      <c r="D116" s="1"/>
      <c r="E116" s="1"/>
      <c r="F116" s="1"/>
      <c r="G116" s="2"/>
      <c r="H116" s="2"/>
      <c r="I116" s="2"/>
      <c r="J116" s="2"/>
      <c r="K116" s="2"/>
      <c r="L116" s="2"/>
      <c r="M116" s="2"/>
      <c r="N116" s="2"/>
    </row>
    <row r="117" spans="1:14" x14ac:dyDescent="0.35">
      <c r="A117" s="1"/>
      <c r="B117" s="1"/>
      <c r="C117" s="1"/>
      <c r="D117" s="1"/>
      <c r="E117" s="1"/>
      <c r="F117" s="1"/>
      <c r="G117" s="2"/>
      <c r="H117" s="2"/>
      <c r="I117" s="2"/>
      <c r="J117" s="2"/>
      <c r="K117" s="2"/>
      <c r="L117" s="2"/>
      <c r="M117" s="2"/>
      <c r="N117" s="2"/>
    </row>
    <row r="118" spans="1:14" x14ac:dyDescent="0.35">
      <c r="A118" s="1"/>
      <c r="B118" s="1"/>
      <c r="C118" s="1"/>
      <c r="D118" s="1"/>
      <c r="E118" s="1"/>
      <c r="F118" s="1"/>
      <c r="G118" s="2"/>
      <c r="H118" s="2"/>
      <c r="I118" s="2"/>
      <c r="J118" s="2"/>
      <c r="K118" s="2"/>
      <c r="L118" s="2"/>
      <c r="M118" s="2"/>
      <c r="N118" s="2"/>
    </row>
    <row r="119" spans="1:14" x14ac:dyDescent="0.35">
      <c r="A119" s="1"/>
      <c r="B119" s="1"/>
      <c r="C119" s="1"/>
      <c r="D119" s="1"/>
      <c r="E119" s="1"/>
      <c r="F119" s="1"/>
      <c r="G119" s="2"/>
      <c r="H119" s="2"/>
      <c r="I119" s="2"/>
      <c r="J119" s="2"/>
      <c r="K119" s="2"/>
      <c r="L119" s="2"/>
      <c r="M119" s="2"/>
      <c r="N119" s="2"/>
    </row>
    <row r="120" spans="1:14" x14ac:dyDescent="0.35">
      <c r="A120" s="1"/>
      <c r="B120" s="1"/>
      <c r="C120" s="1"/>
      <c r="D120" s="1"/>
      <c r="E120" s="1"/>
      <c r="F120" s="1"/>
      <c r="G120" s="2"/>
      <c r="H120" s="2"/>
      <c r="I120" s="2"/>
      <c r="J120" s="2"/>
      <c r="K120" s="2"/>
      <c r="L120" s="2"/>
      <c r="M120" s="2"/>
      <c r="N120" s="2"/>
    </row>
    <row r="121" spans="1:14" x14ac:dyDescent="0.35">
      <c r="A121" s="1"/>
      <c r="B121" s="1"/>
      <c r="C121" s="1"/>
      <c r="D121" s="1"/>
      <c r="E121" s="1"/>
      <c r="F121" s="1"/>
      <c r="G121" s="2"/>
      <c r="H121" s="2"/>
      <c r="I121" s="2"/>
      <c r="J121" s="2"/>
      <c r="K121" s="2"/>
      <c r="L121" s="2"/>
      <c r="M121" s="2"/>
      <c r="N121" s="2"/>
    </row>
    <row r="122" spans="1:14" x14ac:dyDescent="0.35">
      <c r="A122" s="1"/>
      <c r="B122" s="1"/>
      <c r="C122" s="1"/>
      <c r="D122" s="1"/>
      <c r="E122" s="1"/>
      <c r="F122" s="1"/>
      <c r="G122" s="2"/>
      <c r="H122" s="2"/>
      <c r="I122" s="2"/>
      <c r="J122" s="2"/>
      <c r="K122" s="2"/>
      <c r="L122" s="2"/>
      <c r="M122" s="2"/>
      <c r="N122" s="2"/>
    </row>
    <row r="123" spans="1:14" x14ac:dyDescent="0.35">
      <c r="A123" s="1"/>
      <c r="B123" s="1"/>
      <c r="C123" s="1"/>
      <c r="D123" s="1"/>
      <c r="E123" s="1"/>
      <c r="F123" s="1"/>
      <c r="G123" s="2"/>
      <c r="H123" s="2"/>
      <c r="I123" s="2"/>
      <c r="J123" s="2"/>
      <c r="K123" s="2"/>
      <c r="L123" s="2"/>
      <c r="M123" s="2"/>
      <c r="N123" s="2"/>
    </row>
    <row r="124" spans="1:14" x14ac:dyDescent="0.35">
      <c r="A124" s="1"/>
      <c r="B124" s="1"/>
      <c r="C124" s="1"/>
      <c r="D124" s="1"/>
      <c r="E124" s="1"/>
      <c r="F124" s="1"/>
      <c r="G124" s="2"/>
      <c r="H124" s="2"/>
      <c r="I124" s="2"/>
      <c r="J124" s="2"/>
      <c r="K124" s="2"/>
      <c r="L124" s="2"/>
      <c r="M124" s="2"/>
      <c r="N124" s="2"/>
    </row>
    <row r="125" spans="1:14" x14ac:dyDescent="0.35">
      <c r="A125" s="1"/>
      <c r="B125" s="1"/>
      <c r="C125" s="1"/>
      <c r="D125" s="1"/>
      <c r="E125" s="1"/>
      <c r="F125" s="1"/>
      <c r="G125" s="2"/>
      <c r="H125" s="2"/>
      <c r="I125" s="2"/>
      <c r="J125" s="2"/>
      <c r="K125" s="2"/>
      <c r="L125" s="2"/>
      <c r="M125" s="2"/>
      <c r="N125" s="2"/>
    </row>
    <row r="126" spans="1:14" x14ac:dyDescent="0.35">
      <c r="A126" s="1"/>
      <c r="B126" s="1"/>
      <c r="C126" s="1"/>
      <c r="D126" s="1"/>
      <c r="E126" s="1"/>
      <c r="F126" s="1"/>
      <c r="G126" s="2"/>
      <c r="H126" s="2"/>
      <c r="I126" s="2"/>
      <c r="J126" s="2"/>
      <c r="K126" s="2"/>
      <c r="L126" s="2"/>
      <c r="M126" s="2"/>
      <c r="N126" s="2"/>
    </row>
    <row r="127" spans="1:14" x14ac:dyDescent="0.35">
      <c r="A127" s="1"/>
      <c r="B127" s="1"/>
      <c r="C127" s="1"/>
      <c r="D127" s="1"/>
      <c r="E127" s="1"/>
      <c r="F127" s="1"/>
      <c r="G127" s="2"/>
      <c r="H127" s="2"/>
      <c r="I127" s="2"/>
      <c r="J127" s="2"/>
      <c r="K127" s="2"/>
      <c r="L127" s="2"/>
      <c r="M127" s="2"/>
      <c r="N127" s="2"/>
    </row>
    <row r="128" spans="1:14" x14ac:dyDescent="0.35">
      <c r="A128" s="1"/>
      <c r="B128" s="1"/>
      <c r="C128" s="1"/>
      <c r="D128" s="1"/>
      <c r="E128" s="1"/>
      <c r="F128" s="1"/>
      <c r="G128" s="2"/>
      <c r="H128" s="2"/>
      <c r="I128" s="2"/>
      <c r="J128" s="2"/>
      <c r="K128" s="2"/>
      <c r="L128" s="2"/>
      <c r="M128" s="2"/>
      <c r="N128" s="2"/>
    </row>
    <row r="129" spans="1:14" x14ac:dyDescent="0.35">
      <c r="A129" s="1"/>
      <c r="B129" s="1"/>
      <c r="C129" s="1"/>
      <c r="D129" s="1"/>
      <c r="E129" s="1"/>
      <c r="F129" s="1"/>
      <c r="G129" s="2"/>
      <c r="H129" s="2"/>
      <c r="I129" s="2"/>
      <c r="J129" s="2"/>
      <c r="K129" s="2"/>
      <c r="L129" s="2"/>
      <c r="M129" s="2"/>
      <c r="N129" s="2"/>
    </row>
    <row r="130" spans="1:14" x14ac:dyDescent="0.35">
      <c r="A130" s="1"/>
      <c r="B130" s="1"/>
      <c r="C130" s="1"/>
      <c r="D130" s="1"/>
      <c r="E130" s="1"/>
      <c r="F130" s="1"/>
      <c r="G130" s="2"/>
      <c r="H130" s="2"/>
      <c r="I130" s="2"/>
      <c r="J130" s="2"/>
      <c r="K130" s="2"/>
      <c r="L130" s="2"/>
      <c r="M130" s="2"/>
      <c r="N130" s="2"/>
    </row>
    <row r="131" spans="1:14" x14ac:dyDescent="0.35">
      <c r="A131" s="1"/>
      <c r="B131" s="1"/>
      <c r="C131" s="1"/>
      <c r="D131" s="1"/>
      <c r="E131" s="1"/>
      <c r="F131" s="1"/>
      <c r="G131" s="2"/>
      <c r="H131" s="2"/>
      <c r="I131" s="2"/>
      <c r="J131" s="2"/>
      <c r="K131" s="2"/>
      <c r="L131" s="2"/>
      <c r="M131" s="2"/>
      <c r="N131" s="2"/>
    </row>
    <row r="132" spans="1:14" x14ac:dyDescent="0.35">
      <c r="A132" s="1"/>
      <c r="B132" s="1"/>
      <c r="C132" s="1"/>
      <c r="D132" s="1"/>
      <c r="E132" s="1"/>
      <c r="F132" s="1"/>
      <c r="G132" s="2"/>
      <c r="H132" s="2"/>
      <c r="I132" s="2"/>
      <c r="J132" s="2"/>
      <c r="K132" s="2"/>
      <c r="L132" s="2"/>
      <c r="M132" s="2"/>
      <c r="N132" s="2"/>
    </row>
    <row r="133" spans="1:14" x14ac:dyDescent="0.35">
      <c r="A133" s="1"/>
      <c r="B133" s="1"/>
      <c r="C133" s="1"/>
      <c r="D133" s="1"/>
      <c r="E133" s="1"/>
      <c r="F133" s="1"/>
      <c r="G133" s="2"/>
      <c r="H133" s="2"/>
      <c r="I133" s="2"/>
      <c r="J133" s="2"/>
      <c r="K133" s="2"/>
      <c r="L133" s="2"/>
      <c r="M133" s="2"/>
      <c r="N133" s="2"/>
    </row>
    <row r="134" spans="1:14" x14ac:dyDescent="0.35">
      <c r="A134" s="1"/>
      <c r="B134" s="1"/>
      <c r="C134" s="1"/>
      <c r="D134" s="1"/>
      <c r="E134" s="1"/>
      <c r="F134" s="1"/>
      <c r="G134" s="2"/>
      <c r="H134" s="2"/>
      <c r="I134" s="2"/>
      <c r="J134" s="2"/>
      <c r="K134" s="2"/>
      <c r="L134" s="2"/>
      <c r="M134" s="2"/>
      <c r="N134" s="2"/>
    </row>
    <row r="135" spans="1:14" x14ac:dyDescent="0.35">
      <c r="A135" s="1"/>
      <c r="B135" s="1"/>
      <c r="C135" s="1"/>
      <c r="D135" s="1"/>
      <c r="E135" s="1"/>
      <c r="F135" s="1"/>
      <c r="G135" s="2"/>
      <c r="H135" s="2"/>
      <c r="I135" s="2"/>
      <c r="J135" s="2"/>
      <c r="K135" s="2"/>
      <c r="L135" s="2"/>
      <c r="M135" s="2"/>
      <c r="N135" s="2"/>
    </row>
    <row r="136" spans="1:14" x14ac:dyDescent="0.35">
      <c r="A136" s="1"/>
      <c r="B136" s="1"/>
      <c r="C136" s="1"/>
      <c r="D136" s="1"/>
      <c r="E136" s="1"/>
      <c r="F136" s="1"/>
      <c r="G136" s="2"/>
      <c r="H136" s="2"/>
      <c r="I136" s="2"/>
      <c r="J136" s="2"/>
      <c r="K136" s="2"/>
      <c r="L136" s="2"/>
      <c r="M136" s="2"/>
      <c r="N136" s="2"/>
    </row>
    <row r="137" spans="1:14" x14ac:dyDescent="0.35">
      <c r="A137" s="1"/>
      <c r="B137" s="1"/>
      <c r="C137" s="1"/>
      <c r="D137" s="1"/>
      <c r="E137" s="1"/>
      <c r="F137" s="1"/>
      <c r="G137" s="2"/>
      <c r="H137" s="2"/>
      <c r="I137" s="2"/>
      <c r="J137" s="2"/>
      <c r="K137" s="2"/>
      <c r="L137" s="2"/>
      <c r="M137" s="2"/>
      <c r="N137" s="2"/>
    </row>
    <row r="138" spans="1:14" x14ac:dyDescent="0.35">
      <c r="A138" s="1"/>
      <c r="B138" s="1"/>
      <c r="C138" s="1"/>
      <c r="D138" s="1"/>
      <c r="E138" s="1"/>
      <c r="F138" s="1"/>
      <c r="G138" s="2"/>
      <c r="H138" s="2"/>
      <c r="I138" s="2"/>
      <c r="J138" s="2"/>
      <c r="K138" s="2"/>
      <c r="L138" s="2"/>
      <c r="M138" s="2"/>
      <c r="N138" s="2"/>
    </row>
    <row r="139" spans="1:14" x14ac:dyDescent="0.35">
      <c r="A139" s="1"/>
      <c r="B139" s="1"/>
      <c r="C139" s="1"/>
      <c r="D139" s="1"/>
      <c r="E139" s="1"/>
      <c r="F139" s="1"/>
      <c r="G139" s="2"/>
      <c r="H139" s="2"/>
      <c r="I139" s="2"/>
      <c r="J139" s="2"/>
      <c r="K139" s="2"/>
      <c r="L139" s="2"/>
      <c r="M139" s="2"/>
      <c r="N139" s="2"/>
    </row>
    <row r="140" spans="1:14" x14ac:dyDescent="0.35">
      <c r="A140" s="1"/>
      <c r="B140" s="1"/>
      <c r="C140" s="1"/>
      <c r="D140" s="1"/>
      <c r="E140" s="1"/>
      <c r="F140" s="1"/>
      <c r="G140" s="2"/>
      <c r="H140" s="2"/>
      <c r="I140" s="2"/>
      <c r="J140" s="2"/>
      <c r="K140" s="2"/>
      <c r="L140" s="2"/>
      <c r="M140" s="2"/>
      <c r="N140" s="2"/>
    </row>
    <row r="141" spans="1:14" x14ac:dyDescent="0.35">
      <c r="A141" s="1"/>
      <c r="B141" s="1"/>
      <c r="C141" s="1"/>
      <c r="D141" s="1"/>
      <c r="E141" s="1"/>
      <c r="F141" s="1"/>
      <c r="G141" s="2"/>
      <c r="H141" s="2"/>
      <c r="I141" s="2"/>
      <c r="J141" s="2"/>
      <c r="K141" s="2"/>
      <c r="L141" s="2"/>
      <c r="M141" s="2"/>
      <c r="N141" s="2"/>
    </row>
    <row r="142" spans="1:14" x14ac:dyDescent="0.35">
      <c r="A142" s="1"/>
      <c r="B142" s="1"/>
      <c r="C142" s="1"/>
      <c r="D142" s="1"/>
      <c r="E142" s="1"/>
      <c r="F142" s="1"/>
      <c r="G142" s="2"/>
      <c r="H142" s="2"/>
      <c r="I142" s="2"/>
      <c r="J142" s="2"/>
      <c r="K142" s="2"/>
      <c r="L142" s="2"/>
      <c r="M142" s="2"/>
      <c r="N142" s="2"/>
    </row>
    <row r="143" spans="1:14" x14ac:dyDescent="0.35">
      <c r="A143" s="1"/>
      <c r="B143" s="1"/>
      <c r="C143" s="1"/>
      <c r="D143" s="1"/>
      <c r="E143" s="1"/>
      <c r="F143" s="1"/>
      <c r="G143" s="2"/>
      <c r="H143" s="2"/>
      <c r="I143" s="2"/>
      <c r="J143" s="2"/>
      <c r="K143" s="2"/>
      <c r="L143" s="2"/>
      <c r="M143" s="2"/>
      <c r="N143" s="2"/>
    </row>
    <row r="144" spans="1:14" x14ac:dyDescent="0.35">
      <c r="A144" s="1"/>
      <c r="B144" s="1"/>
      <c r="C144" s="1"/>
      <c r="D144" s="1"/>
      <c r="E144" s="1"/>
      <c r="F144" s="1"/>
      <c r="G144" s="2"/>
      <c r="H144" s="2"/>
      <c r="I144" s="2"/>
      <c r="J144" s="2"/>
      <c r="K144" s="2"/>
      <c r="L144" s="2"/>
      <c r="M144" s="2"/>
      <c r="N144" s="2"/>
    </row>
    <row r="145" spans="1:14" x14ac:dyDescent="0.35">
      <c r="A145" s="1"/>
      <c r="B145" s="1"/>
      <c r="C145" s="1"/>
      <c r="D145" s="1"/>
      <c r="E145" s="1"/>
      <c r="F145" s="1"/>
      <c r="G145" s="2"/>
      <c r="H145" s="2"/>
      <c r="I145" s="2"/>
      <c r="J145" s="2"/>
      <c r="K145" s="2"/>
      <c r="L145" s="2"/>
      <c r="M145" s="2"/>
      <c r="N145" s="2"/>
    </row>
    <row r="146" spans="1:14" x14ac:dyDescent="0.35">
      <c r="A146" s="1"/>
      <c r="B146" s="1"/>
      <c r="C146" s="1"/>
      <c r="D146" s="1"/>
      <c r="E146" s="1"/>
      <c r="F146" s="1"/>
      <c r="G146" s="2"/>
      <c r="H146" s="2"/>
      <c r="I146" s="2"/>
      <c r="J146" s="2"/>
      <c r="K146" s="2"/>
      <c r="L146" s="2"/>
      <c r="M146" s="2"/>
      <c r="N146" s="2"/>
    </row>
    <row r="147" spans="1:14" x14ac:dyDescent="0.35">
      <c r="A147" s="1"/>
      <c r="B147" s="1"/>
      <c r="C147" s="1"/>
      <c r="D147" s="1"/>
      <c r="E147" s="1"/>
      <c r="F147" s="1"/>
      <c r="G147" s="2"/>
      <c r="H147" s="2"/>
      <c r="I147" s="2"/>
      <c r="J147" s="2"/>
      <c r="K147" s="2"/>
      <c r="L147" s="2"/>
      <c r="M147" s="2"/>
      <c r="N147" s="2"/>
    </row>
    <row r="148" spans="1:14" x14ac:dyDescent="0.35">
      <c r="A148" s="1"/>
      <c r="B148" s="1"/>
      <c r="C148" s="1"/>
      <c r="D148" s="1"/>
      <c r="E148" s="1"/>
      <c r="F148" s="1"/>
      <c r="G148" s="2"/>
      <c r="H148" s="2"/>
      <c r="I148" s="2"/>
      <c r="J148" s="2"/>
      <c r="K148" s="2"/>
      <c r="L148" s="2"/>
      <c r="M148" s="2"/>
      <c r="N148" s="2"/>
    </row>
    <row r="149" spans="1:14" x14ac:dyDescent="0.35">
      <c r="A149" s="1"/>
      <c r="B149" s="1"/>
      <c r="C149" s="1"/>
      <c r="D149" s="1"/>
      <c r="E149" s="1"/>
      <c r="F149" s="1"/>
      <c r="G149" s="2"/>
      <c r="H149" s="2"/>
      <c r="I149" s="2"/>
      <c r="J149" s="2"/>
      <c r="K149" s="2"/>
      <c r="L149" s="2"/>
      <c r="M149" s="2"/>
      <c r="N149" s="2"/>
    </row>
    <row r="150" spans="1:14" x14ac:dyDescent="0.35">
      <c r="A150" s="1"/>
      <c r="B150" s="1"/>
      <c r="C150" s="1"/>
      <c r="D150" s="1"/>
      <c r="E150" s="1"/>
      <c r="F150" s="1"/>
      <c r="G150" s="2"/>
      <c r="H150" s="2"/>
      <c r="I150" s="2"/>
      <c r="J150" s="2"/>
      <c r="K150" s="2"/>
      <c r="L150" s="2"/>
      <c r="M150" s="2"/>
      <c r="N150" s="2"/>
    </row>
    <row r="151" spans="1:14" x14ac:dyDescent="0.35">
      <c r="A151" s="1"/>
      <c r="B151" s="1"/>
      <c r="C151" s="1"/>
      <c r="D151" s="1"/>
      <c r="E151" s="1"/>
      <c r="F151" s="1"/>
      <c r="G151" s="2"/>
      <c r="H151" s="2"/>
      <c r="I151" s="2"/>
      <c r="J151" s="2"/>
      <c r="K151" s="2"/>
      <c r="L151" s="2"/>
      <c r="M151" s="2"/>
      <c r="N151" s="2"/>
    </row>
    <row r="152" spans="1:14" x14ac:dyDescent="0.35">
      <c r="A152" s="1"/>
      <c r="B152" s="1"/>
      <c r="C152" s="1"/>
      <c r="D152" s="1"/>
      <c r="E152" s="1"/>
      <c r="F152" s="1"/>
      <c r="G152" s="2"/>
      <c r="H152" s="2"/>
      <c r="I152" s="2"/>
      <c r="J152" s="2"/>
      <c r="K152" s="2"/>
      <c r="L152" s="2"/>
      <c r="M152" s="2"/>
      <c r="N152" s="2"/>
    </row>
    <row r="153" spans="1:14" x14ac:dyDescent="0.35">
      <c r="A153" s="1"/>
      <c r="B153" s="1"/>
      <c r="C153" s="1"/>
      <c r="D153" s="1"/>
      <c r="E153" s="1"/>
      <c r="F153" s="1"/>
      <c r="G153" s="2"/>
      <c r="H153" s="2"/>
      <c r="I153" s="2"/>
      <c r="J153" s="2"/>
      <c r="K153" s="2"/>
      <c r="L153" s="2"/>
      <c r="M153" s="2"/>
      <c r="N153" s="2"/>
    </row>
    <row r="154" spans="1:14" x14ac:dyDescent="0.35">
      <c r="A154" s="1"/>
      <c r="B154" s="1"/>
      <c r="C154" s="1"/>
      <c r="D154" s="1"/>
      <c r="E154" s="1"/>
      <c r="F154" s="1"/>
      <c r="G154" s="2"/>
      <c r="H154" s="2"/>
      <c r="I154" s="2"/>
      <c r="J154" s="2"/>
      <c r="K154" s="2"/>
      <c r="L154" s="2"/>
      <c r="M154" s="2"/>
      <c r="N154" s="2"/>
    </row>
    <row r="155" spans="1:14" x14ac:dyDescent="0.35">
      <c r="A155" s="1"/>
      <c r="B155" s="1"/>
      <c r="C155" s="1"/>
      <c r="D155" s="1"/>
      <c r="E155" s="1"/>
      <c r="F155" s="1"/>
      <c r="G155" s="2"/>
      <c r="H155" s="2"/>
      <c r="I155" s="2"/>
      <c r="J155" s="2"/>
      <c r="K155" s="2"/>
      <c r="L155" s="2"/>
      <c r="M155" s="2"/>
      <c r="N155" s="2"/>
    </row>
    <row r="156" spans="1:14" x14ac:dyDescent="0.35">
      <c r="A156" s="1"/>
      <c r="B156" s="1"/>
      <c r="C156" s="1"/>
      <c r="D156" s="1"/>
      <c r="E156" s="1"/>
      <c r="F156" s="1"/>
      <c r="G156" s="2"/>
      <c r="H156" s="2"/>
      <c r="I156" s="2"/>
      <c r="J156" s="2"/>
      <c r="K156" s="2"/>
      <c r="L156" s="2"/>
      <c r="M156" s="2"/>
      <c r="N156" s="2"/>
    </row>
    <row r="157" spans="1:14" x14ac:dyDescent="0.35">
      <c r="A157" s="1"/>
      <c r="B157" s="1"/>
      <c r="C157" s="1"/>
      <c r="D157" s="1"/>
      <c r="E157" s="1"/>
      <c r="F157" s="1"/>
      <c r="G157" s="2"/>
      <c r="H157" s="2"/>
      <c r="I157" s="2"/>
      <c r="J157" s="2"/>
      <c r="K157" s="2"/>
      <c r="L157" s="2"/>
      <c r="M157" s="2"/>
      <c r="N157" s="2"/>
    </row>
    <row r="158" spans="1:14" x14ac:dyDescent="0.35">
      <c r="A158" s="1"/>
      <c r="B158" s="1"/>
      <c r="C158" s="1"/>
      <c r="D158" s="1"/>
      <c r="E158" s="1"/>
      <c r="F158" s="1"/>
      <c r="G158" s="2"/>
      <c r="H158" s="2"/>
      <c r="I158" s="2"/>
      <c r="J158" s="2"/>
      <c r="K158" s="2"/>
      <c r="L158" s="2"/>
      <c r="M158" s="2"/>
      <c r="N158" s="2"/>
    </row>
    <row r="159" spans="1:14" x14ac:dyDescent="0.35">
      <c r="A159" s="1"/>
      <c r="B159" s="1"/>
      <c r="C159" s="1"/>
      <c r="D159" s="1"/>
      <c r="E159" s="1"/>
      <c r="F159" s="1"/>
      <c r="G159" s="2"/>
      <c r="H159" s="2"/>
      <c r="I159" s="2"/>
      <c r="J159" s="2"/>
      <c r="K159" s="2"/>
      <c r="L159" s="2"/>
      <c r="M159" s="2"/>
      <c r="N159" s="2"/>
    </row>
    <row r="160" spans="1:14" x14ac:dyDescent="0.35">
      <c r="A160" s="1"/>
      <c r="B160" s="1"/>
      <c r="C160" s="1"/>
      <c r="D160" s="1"/>
      <c r="E160" s="1"/>
      <c r="F160" s="1"/>
      <c r="G160" s="2"/>
      <c r="H160" s="2"/>
      <c r="I160" s="2"/>
      <c r="J160" s="2"/>
      <c r="K160" s="2"/>
      <c r="L160" s="2"/>
      <c r="M160" s="2"/>
      <c r="N160" s="2"/>
    </row>
    <row r="161" spans="1:14" x14ac:dyDescent="0.35">
      <c r="A161" s="1"/>
      <c r="B161" s="1"/>
      <c r="C161" s="1"/>
      <c r="D161" s="1"/>
      <c r="E161" s="1"/>
      <c r="F161" s="1"/>
      <c r="G161" s="2"/>
      <c r="H161" s="2"/>
      <c r="I161" s="2"/>
      <c r="J161" s="2"/>
      <c r="K161" s="2"/>
      <c r="L161" s="2"/>
      <c r="M161" s="2"/>
      <c r="N161" s="2"/>
    </row>
    <row r="162" spans="1:14" x14ac:dyDescent="0.35">
      <c r="A162" s="1"/>
      <c r="B162" s="1"/>
      <c r="C162" s="1"/>
      <c r="D162" s="1"/>
      <c r="E162" s="1"/>
      <c r="F162" s="1"/>
      <c r="G162" s="2"/>
      <c r="H162" s="2"/>
      <c r="I162" s="2"/>
      <c r="J162" s="2"/>
      <c r="K162" s="2"/>
      <c r="L162" s="2"/>
      <c r="M162" s="2"/>
      <c r="N162" s="2"/>
    </row>
    <row r="163" spans="1:14" x14ac:dyDescent="0.35">
      <c r="A163" s="1"/>
      <c r="B163" s="1"/>
      <c r="C163" s="1"/>
      <c r="D163" s="1"/>
      <c r="E163" s="1"/>
      <c r="F163" s="1"/>
      <c r="G163" s="2"/>
      <c r="H163" s="2"/>
      <c r="I163" s="2"/>
      <c r="J163" s="2"/>
      <c r="K163" s="2"/>
      <c r="L163" s="2"/>
      <c r="M163" s="2"/>
      <c r="N163" s="2"/>
    </row>
    <row r="164" spans="1:14" x14ac:dyDescent="0.35">
      <c r="A164" s="1"/>
      <c r="B164" s="1"/>
      <c r="C164" s="1"/>
      <c r="D164" s="1"/>
      <c r="E164" s="1"/>
      <c r="F164" s="1"/>
      <c r="G164" s="2"/>
      <c r="H164" s="2"/>
      <c r="I164" s="2"/>
      <c r="J164" s="2"/>
      <c r="K164" s="2"/>
      <c r="L164" s="2"/>
      <c r="M164" s="2"/>
      <c r="N164" s="2"/>
    </row>
    <row r="165" spans="1:14" x14ac:dyDescent="0.35">
      <c r="A165" s="1"/>
      <c r="B165" s="1"/>
      <c r="C165" s="1"/>
      <c r="D165" s="1"/>
      <c r="E165" s="1"/>
      <c r="F165" s="1"/>
      <c r="G165" s="2"/>
      <c r="H165" s="2"/>
      <c r="I165" s="2"/>
      <c r="J165" s="2"/>
      <c r="K165" s="2"/>
      <c r="L165" s="2"/>
      <c r="M165" s="2"/>
      <c r="N165" s="2"/>
    </row>
    <row r="166" spans="1:14" x14ac:dyDescent="0.35">
      <c r="A166" s="1"/>
      <c r="B166" s="1"/>
      <c r="C166" s="1"/>
      <c r="D166" s="1"/>
      <c r="E166" s="1"/>
      <c r="F166" s="1"/>
      <c r="G166" s="2"/>
      <c r="H166" s="2"/>
      <c r="I166" s="2"/>
      <c r="J166" s="2"/>
      <c r="K166" s="2"/>
      <c r="L166" s="2"/>
      <c r="M166" s="2"/>
      <c r="N166" s="2"/>
    </row>
    <row r="167" spans="1:14" x14ac:dyDescent="0.35">
      <c r="A167" s="1"/>
      <c r="B167" s="1"/>
      <c r="C167" s="1"/>
      <c r="D167" s="1"/>
      <c r="E167" s="1"/>
      <c r="F167" s="1"/>
      <c r="G167" s="2"/>
      <c r="H167" s="2"/>
      <c r="I167" s="2"/>
      <c r="J167" s="2"/>
      <c r="K167" s="2"/>
      <c r="L167" s="2"/>
      <c r="M167" s="2"/>
      <c r="N167" s="2"/>
    </row>
    <row r="168" spans="1:14" x14ac:dyDescent="0.35">
      <c r="A168" s="1"/>
      <c r="B168" s="1"/>
      <c r="C168" s="1"/>
      <c r="D168" s="1"/>
      <c r="E168" s="1"/>
      <c r="F168" s="1"/>
      <c r="G168" s="2"/>
      <c r="H168" s="2"/>
      <c r="I168" s="2"/>
      <c r="J168" s="2"/>
      <c r="K168" s="2"/>
      <c r="L168" s="2"/>
      <c r="M168" s="2"/>
      <c r="N168" s="2"/>
    </row>
    <row r="169" spans="1:14" x14ac:dyDescent="0.35">
      <c r="A169" s="1"/>
      <c r="B169" s="1"/>
      <c r="C169" s="1"/>
      <c r="D169" s="1"/>
      <c r="E169" s="1"/>
      <c r="F169" s="1"/>
      <c r="G169" s="2"/>
      <c r="H169" s="2"/>
      <c r="I169" s="2"/>
      <c r="J169" s="2"/>
      <c r="K169" s="2"/>
      <c r="L169" s="2"/>
      <c r="M169" s="2"/>
      <c r="N169" s="2"/>
    </row>
    <row r="170" spans="1:14" x14ac:dyDescent="0.35">
      <c r="A170" s="1"/>
      <c r="B170" s="1"/>
      <c r="C170" s="1"/>
      <c r="D170" s="1"/>
      <c r="E170" s="1"/>
      <c r="F170" s="1"/>
      <c r="G170" s="2"/>
      <c r="H170" s="2"/>
      <c r="I170" s="2"/>
      <c r="J170" s="2"/>
      <c r="K170" s="2"/>
      <c r="L170" s="2"/>
      <c r="M170" s="2"/>
      <c r="N170" s="2"/>
    </row>
    <row r="171" spans="1:14" x14ac:dyDescent="0.35">
      <c r="A171" s="1"/>
      <c r="B171" s="1"/>
      <c r="C171" s="1"/>
      <c r="D171" s="1"/>
      <c r="E171" s="1"/>
      <c r="F171" s="1"/>
      <c r="G171" s="2"/>
      <c r="H171" s="2"/>
      <c r="I171" s="2"/>
      <c r="J171" s="2"/>
      <c r="K171" s="2"/>
      <c r="L171" s="2"/>
      <c r="M171" s="2"/>
      <c r="N171" s="2"/>
    </row>
    <row r="172" spans="1:14" x14ac:dyDescent="0.35">
      <c r="A172" s="1"/>
      <c r="B172" s="1"/>
      <c r="C172" s="1"/>
      <c r="D172" s="1"/>
      <c r="E172" s="1"/>
      <c r="F172" s="1"/>
      <c r="G172" s="2"/>
      <c r="H172" s="2"/>
      <c r="I172" s="2"/>
      <c r="J172" s="2"/>
      <c r="K172" s="2"/>
      <c r="L172" s="2"/>
      <c r="M172" s="2"/>
      <c r="N172" s="2"/>
    </row>
    <row r="173" spans="1:14" x14ac:dyDescent="0.35">
      <c r="A173" s="1"/>
      <c r="B173" s="1"/>
      <c r="C173" s="1"/>
      <c r="D173" s="1"/>
      <c r="E173" s="1"/>
      <c r="F173" s="1"/>
      <c r="G173" s="2"/>
      <c r="H173" s="2"/>
      <c r="I173" s="2"/>
      <c r="J173" s="2"/>
      <c r="K173" s="2"/>
      <c r="L173" s="2"/>
      <c r="M173" s="2"/>
      <c r="N173" s="2"/>
    </row>
    <row r="174" spans="1:14" x14ac:dyDescent="0.35">
      <c r="A174" s="1"/>
      <c r="B174" s="1"/>
      <c r="C174" s="1"/>
      <c r="D174" s="1"/>
      <c r="E174" s="1"/>
      <c r="F174" s="1"/>
      <c r="G174" s="2"/>
      <c r="H174" s="2"/>
      <c r="I174" s="2"/>
      <c r="J174" s="2"/>
      <c r="K174" s="2"/>
      <c r="L174" s="2"/>
      <c r="M174" s="2"/>
      <c r="N174" s="2"/>
    </row>
    <row r="175" spans="1:14" x14ac:dyDescent="0.35">
      <c r="A175" s="1"/>
      <c r="B175" s="1"/>
      <c r="C175" s="1"/>
      <c r="D175" s="1"/>
      <c r="E175" s="1"/>
      <c r="F175" s="1"/>
      <c r="G175" s="2"/>
      <c r="H175" s="2"/>
      <c r="I175" s="2"/>
      <c r="J175" s="2"/>
      <c r="K175" s="2"/>
      <c r="L175" s="2"/>
      <c r="M175" s="2"/>
      <c r="N175" s="2"/>
    </row>
    <row r="176" spans="1:14" x14ac:dyDescent="0.35">
      <c r="A176" s="1"/>
      <c r="B176" s="1"/>
      <c r="C176" s="1"/>
      <c r="D176" s="1"/>
      <c r="E176" s="1"/>
      <c r="F176" s="1"/>
      <c r="G176" s="2"/>
      <c r="H176" s="2"/>
      <c r="I176" s="2"/>
      <c r="J176" s="2"/>
      <c r="K176" s="2"/>
      <c r="L176" s="2"/>
      <c r="M176" s="2"/>
      <c r="N176" s="2"/>
    </row>
    <row r="177" spans="1:14" x14ac:dyDescent="0.35">
      <c r="A177" s="1"/>
      <c r="B177" s="1"/>
      <c r="C177" s="1"/>
      <c r="D177" s="1"/>
      <c r="E177" s="1"/>
      <c r="F177" s="1"/>
      <c r="G177" s="2"/>
      <c r="H177" s="2"/>
      <c r="I177" s="2"/>
      <c r="J177" s="2"/>
      <c r="K177" s="2"/>
      <c r="L177" s="2"/>
      <c r="M177" s="2"/>
      <c r="N177" s="2"/>
    </row>
    <row r="178" spans="1:14" x14ac:dyDescent="0.35">
      <c r="A178" s="1"/>
      <c r="B178" s="1"/>
      <c r="C178" s="1"/>
      <c r="D178" s="1"/>
      <c r="E178" s="1"/>
      <c r="F178" s="1"/>
      <c r="G178" s="2"/>
      <c r="H178" s="2"/>
      <c r="I178" s="2"/>
      <c r="J178" s="2"/>
      <c r="K178" s="2"/>
      <c r="L178" s="2"/>
      <c r="M178" s="2"/>
      <c r="N178" s="2"/>
    </row>
    <row r="179" spans="1:14" x14ac:dyDescent="0.35">
      <c r="A179" s="1"/>
      <c r="B179" s="1"/>
      <c r="C179" s="1"/>
      <c r="D179" s="1"/>
      <c r="E179" s="1"/>
      <c r="F179" s="1"/>
      <c r="G179" s="2"/>
      <c r="H179" s="2"/>
      <c r="I179" s="2"/>
      <c r="J179" s="2"/>
      <c r="K179" s="2"/>
      <c r="L179" s="2"/>
      <c r="M179" s="2"/>
      <c r="N179" s="2"/>
    </row>
    <row r="180" spans="1:14" x14ac:dyDescent="0.35">
      <c r="A180" s="1"/>
      <c r="B180" s="1"/>
      <c r="C180" s="1"/>
      <c r="D180" s="1"/>
      <c r="E180" s="1"/>
      <c r="F180" s="1"/>
      <c r="G180" s="2"/>
      <c r="H180" s="2"/>
      <c r="I180" s="2"/>
      <c r="J180" s="2"/>
      <c r="K180" s="2"/>
      <c r="L180" s="2"/>
      <c r="M180" s="2"/>
      <c r="N180" s="2"/>
    </row>
    <row r="181" spans="1:14" x14ac:dyDescent="0.35">
      <c r="A181" s="1"/>
      <c r="B181" s="1"/>
      <c r="C181" s="1"/>
      <c r="D181" s="1"/>
      <c r="E181" s="1"/>
      <c r="F181" s="1"/>
      <c r="G181" s="2"/>
      <c r="H181" s="2"/>
      <c r="I181" s="2"/>
      <c r="J181" s="2"/>
      <c r="K181" s="2"/>
      <c r="L181" s="2"/>
      <c r="M181" s="2"/>
      <c r="N181" s="2"/>
    </row>
    <row r="182" spans="1:14" x14ac:dyDescent="0.35">
      <c r="A182" s="1"/>
      <c r="B182" s="1"/>
      <c r="C182" s="1"/>
      <c r="D182" s="1"/>
      <c r="E182" s="1"/>
      <c r="F182" s="1"/>
      <c r="G182" s="2"/>
      <c r="H182" s="2"/>
      <c r="I182" s="2"/>
      <c r="J182" s="2"/>
      <c r="K182" s="2"/>
      <c r="L182" s="2"/>
      <c r="M182" s="2"/>
      <c r="N182" s="2"/>
    </row>
    <row r="183" spans="1:14" x14ac:dyDescent="0.35">
      <c r="A183" s="1"/>
      <c r="B183" s="1"/>
      <c r="C183" s="1"/>
      <c r="D183" s="1"/>
      <c r="E183" s="1"/>
      <c r="F183" s="1"/>
      <c r="G183" s="2"/>
      <c r="H183" s="2"/>
      <c r="I183" s="2"/>
      <c r="J183" s="2"/>
      <c r="K183" s="2"/>
      <c r="L183" s="2"/>
      <c r="M183" s="2"/>
      <c r="N183" s="2"/>
    </row>
    <row r="184" spans="1:14" x14ac:dyDescent="0.35">
      <c r="A184" s="1"/>
      <c r="B184" s="1"/>
      <c r="C184" s="1"/>
      <c r="D184" s="1"/>
      <c r="E184" s="1"/>
      <c r="F184" s="1"/>
      <c r="G184" s="2"/>
      <c r="H184" s="2"/>
      <c r="I184" s="2"/>
      <c r="J184" s="2"/>
      <c r="K184" s="2"/>
      <c r="L184" s="2"/>
      <c r="M184" s="2"/>
      <c r="N184" s="2"/>
    </row>
    <row r="185" spans="1:14" x14ac:dyDescent="0.35">
      <c r="A185" s="1"/>
      <c r="B185" s="1"/>
      <c r="C185" s="1"/>
      <c r="D185" s="1"/>
      <c r="E185" s="1"/>
      <c r="F185" s="1"/>
      <c r="G185" s="2"/>
      <c r="H185" s="2"/>
      <c r="I185" s="2"/>
      <c r="J185" s="2"/>
      <c r="K185" s="2"/>
      <c r="L185" s="2"/>
      <c r="M185" s="2"/>
      <c r="N185" s="2"/>
    </row>
    <row r="186" spans="1:14" x14ac:dyDescent="0.35">
      <c r="A186" s="1"/>
      <c r="B186" s="1"/>
      <c r="C186" s="1"/>
      <c r="D186" s="1"/>
      <c r="E186" s="1"/>
      <c r="F186" s="1"/>
      <c r="G186" s="2"/>
      <c r="H186" s="2"/>
      <c r="I186" s="2"/>
      <c r="J186" s="2"/>
      <c r="K186" s="2"/>
      <c r="L186" s="2"/>
      <c r="M186" s="2"/>
      <c r="N186" s="2"/>
    </row>
    <row r="187" spans="1:14" x14ac:dyDescent="0.35">
      <c r="A187" s="1"/>
      <c r="B187" s="1"/>
      <c r="C187" s="1"/>
      <c r="D187" s="1"/>
      <c r="E187" s="1"/>
      <c r="F187" s="1"/>
      <c r="G187" s="2"/>
      <c r="H187" s="2"/>
      <c r="I187" s="2"/>
      <c r="J187" s="2"/>
      <c r="K187" s="2"/>
      <c r="L187" s="2"/>
      <c r="M187" s="2"/>
      <c r="N187" s="2"/>
    </row>
    <row r="188" spans="1:14" x14ac:dyDescent="0.35">
      <c r="A188" s="1"/>
      <c r="B188" s="1"/>
      <c r="C188" s="1"/>
      <c r="D188" s="1"/>
      <c r="E188" s="1"/>
      <c r="F188" s="1"/>
      <c r="G188" s="2"/>
      <c r="H188" s="2"/>
      <c r="I188" s="2"/>
      <c r="J188" s="2"/>
      <c r="K188" s="2"/>
      <c r="L188" s="2"/>
      <c r="M188" s="2"/>
      <c r="N188" s="2"/>
    </row>
    <row r="189" spans="1:14" x14ac:dyDescent="0.35">
      <c r="A189" s="1"/>
      <c r="B189" s="1"/>
      <c r="C189" s="1"/>
      <c r="D189" s="1"/>
      <c r="E189" s="1"/>
      <c r="F189" s="1"/>
      <c r="G189" s="2"/>
      <c r="H189" s="2"/>
      <c r="I189" s="2"/>
      <c r="J189" s="2"/>
      <c r="K189" s="2"/>
      <c r="L189" s="2"/>
      <c r="M189" s="2"/>
      <c r="N189" s="2"/>
    </row>
    <row r="190" spans="1:14" x14ac:dyDescent="0.35">
      <c r="A190" s="1"/>
      <c r="B190" s="1"/>
      <c r="C190" s="1"/>
      <c r="D190" s="1"/>
      <c r="E190" s="1"/>
      <c r="F190" s="1"/>
      <c r="G190" s="2"/>
      <c r="H190" s="2"/>
      <c r="I190" s="2"/>
      <c r="J190" s="2"/>
      <c r="K190" s="2"/>
      <c r="L190" s="2"/>
      <c r="M190" s="2"/>
      <c r="N190" s="2"/>
    </row>
    <row r="191" spans="1:14" x14ac:dyDescent="0.35">
      <c r="A191" s="1"/>
      <c r="B191" s="1"/>
      <c r="C191" s="1"/>
      <c r="D191" s="1"/>
      <c r="E191" s="1"/>
      <c r="F191" s="1"/>
      <c r="G191" s="2"/>
      <c r="H191" s="2"/>
      <c r="I191" s="2"/>
      <c r="J191" s="2"/>
      <c r="K191" s="2"/>
      <c r="L191" s="2"/>
      <c r="M191" s="2"/>
      <c r="N191" s="2"/>
    </row>
    <row r="192" spans="1:14" x14ac:dyDescent="0.35">
      <c r="A192" s="1"/>
      <c r="B192" s="1"/>
      <c r="C192" s="1"/>
      <c r="D192" s="1"/>
      <c r="E192" s="1"/>
      <c r="F192" s="1"/>
      <c r="G192" s="2"/>
      <c r="H192" s="2"/>
      <c r="I192" s="2"/>
      <c r="J192" s="2"/>
      <c r="K192" s="2"/>
      <c r="L192" s="2"/>
      <c r="M192" s="2"/>
      <c r="N192" s="2"/>
    </row>
    <row r="193" spans="1:14" x14ac:dyDescent="0.35">
      <c r="A193" s="1"/>
      <c r="B193" s="1"/>
      <c r="C193" s="1"/>
      <c r="D193" s="1"/>
      <c r="E193" s="1"/>
      <c r="F193" s="1"/>
      <c r="G193" s="2"/>
      <c r="H193" s="2"/>
      <c r="I193" s="2"/>
      <c r="J193" s="2"/>
      <c r="K193" s="2"/>
      <c r="L193" s="2"/>
      <c r="M193" s="2"/>
      <c r="N193" s="2"/>
    </row>
    <row r="194" spans="1:14" x14ac:dyDescent="0.35">
      <c r="A194" s="1"/>
      <c r="B194" s="1"/>
      <c r="C194" s="1"/>
      <c r="D194" s="1"/>
      <c r="E194" s="1"/>
      <c r="F194" s="1"/>
      <c r="G194" s="2"/>
      <c r="H194" s="2"/>
      <c r="I194" s="2"/>
      <c r="J194" s="2"/>
      <c r="K194" s="2"/>
      <c r="L194" s="2"/>
      <c r="M194" s="2"/>
      <c r="N194" s="2"/>
    </row>
    <row r="195" spans="1:14" x14ac:dyDescent="0.35">
      <c r="A195" s="1"/>
      <c r="B195" s="1"/>
      <c r="C195" s="1"/>
      <c r="D195" s="1"/>
      <c r="E195" s="1"/>
      <c r="F195" s="1"/>
      <c r="G195" s="2"/>
      <c r="H195" s="2"/>
      <c r="I195" s="2"/>
      <c r="J195" s="2"/>
      <c r="K195" s="2"/>
      <c r="L195" s="2"/>
      <c r="M195" s="2"/>
      <c r="N195" s="2"/>
    </row>
    <row r="196" spans="1:14" x14ac:dyDescent="0.35">
      <c r="A196" s="1"/>
      <c r="B196" s="1"/>
      <c r="C196" s="1"/>
      <c r="D196" s="1"/>
      <c r="E196" s="1"/>
      <c r="F196" s="1"/>
      <c r="G196" s="2"/>
      <c r="H196" s="2"/>
      <c r="I196" s="2"/>
      <c r="J196" s="2"/>
      <c r="K196" s="2"/>
      <c r="L196" s="2"/>
      <c r="M196" s="2"/>
      <c r="N196" s="2"/>
    </row>
    <row r="197" spans="1:14" x14ac:dyDescent="0.35">
      <c r="A197" s="1"/>
      <c r="B197" s="1"/>
      <c r="C197" s="1"/>
      <c r="D197" s="1"/>
      <c r="E197" s="1"/>
      <c r="F197" s="1"/>
      <c r="G197" s="2"/>
      <c r="H197" s="2"/>
      <c r="I197" s="2"/>
      <c r="J197" s="2"/>
      <c r="K197" s="2"/>
      <c r="L197" s="2"/>
      <c r="M197" s="2"/>
      <c r="N197" s="2"/>
    </row>
    <row r="198" spans="1:14" x14ac:dyDescent="0.35">
      <c r="A198" s="1"/>
      <c r="B198" s="1"/>
      <c r="C198" s="1"/>
      <c r="D198" s="1"/>
      <c r="E198" s="1"/>
      <c r="F198" s="1"/>
      <c r="G198" s="2"/>
      <c r="H198" s="2"/>
      <c r="I198" s="2"/>
      <c r="J198" s="2"/>
      <c r="K198" s="2"/>
      <c r="L198" s="2"/>
      <c r="M198" s="2"/>
      <c r="N198" s="2"/>
    </row>
    <row r="199" spans="1:14" x14ac:dyDescent="0.35">
      <c r="A199" s="1"/>
    </row>
  </sheetData>
  <autoFilter ref="B13:O36" xr:uid="{43DF5CB6-FD3E-4A56-83A6-1D6F6E8CB5C3}">
    <filterColumn colId="1" showButton="0"/>
    <filterColumn colId="2" showButton="0"/>
    <filterColumn colId="3" showButton="0"/>
    <filterColumn colId="4" showButton="0"/>
  </autoFilter>
  <mergeCells count="52">
    <mergeCell ref="B5:C5"/>
    <mergeCell ref="G5:H5"/>
    <mergeCell ref="J5:K5"/>
    <mergeCell ref="B2:K2"/>
    <mergeCell ref="B3:K3"/>
    <mergeCell ref="B4:C4"/>
    <mergeCell ref="G4:H4"/>
    <mergeCell ref="J4:K4"/>
    <mergeCell ref="B6:C6"/>
    <mergeCell ref="G6:H6"/>
    <mergeCell ref="J6:K6"/>
    <mergeCell ref="B7:C7"/>
    <mergeCell ref="G7:H7"/>
    <mergeCell ref="J7:K7"/>
    <mergeCell ref="B8:C8"/>
    <mergeCell ref="G8:H8"/>
    <mergeCell ref="J8:K8"/>
    <mergeCell ref="B9:C9"/>
    <mergeCell ref="G9:K9"/>
    <mergeCell ref="B10:C10"/>
    <mergeCell ref="G10:K10"/>
    <mergeCell ref="B11:C11"/>
    <mergeCell ref="G11:K11"/>
    <mergeCell ref="C13:G13"/>
    <mergeCell ref="C14:G14"/>
    <mergeCell ref="C15:G15"/>
    <mergeCell ref="D22:G22"/>
    <mergeCell ref="D23:G23"/>
    <mergeCell ref="D19:G19"/>
    <mergeCell ref="I19:J19"/>
    <mergeCell ref="D20:G20"/>
    <mergeCell ref="D21:G21"/>
    <mergeCell ref="D24:G24"/>
    <mergeCell ref="D25:G25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9:G39"/>
    <mergeCell ref="I39:J39"/>
    <mergeCell ref="J42:K42"/>
    <mergeCell ref="D36:G36"/>
    <mergeCell ref="D37:G37"/>
    <mergeCell ref="I37:J37"/>
    <mergeCell ref="D38:G38"/>
    <mergeCell ref="I38:J38"/>
  </mergeCells>
  <conditionalFormatting sqref="K20:K39">
    <cfRule type="cellIs" dxfId="0" priority="1" stopIfTrue="1" operator="lessThanOr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6E01-9716-4C1F-80D5-AC403BB7AEC4}">
  <sheetPr codeName="Sheet2">
    <tabColor rgb="FFFFFF00"/>
  </sheetPr>
  <dimension ref="A1:U3865"/>
  <sheetViews>
    <sheetView workbookViewId="0">
      <selection activeCell="F22" sqref="F22"/>
    </sheetView>
  </sheetViews>
  <sheetFormatPr defaultRowHeight="14.5" x14ac:dyDescent="0.35"/>
  <cols>
    <col min="4" max="4" width="14" customWidth="1"/>
    <col min="7" max="7" width="26.81640625" customWidth="1"/>
    <col min="9" max="9" width="26.54296875" customWidth="1"/>
    <col min="19" max="20" width="15.81640625" style="58" customWidth="1"/>
  </cols>
  <sheetData>
    <row r="1" spans="1:21" x14ac:dyDescent="0.35">
      <c r="A1" t="s">
        <v>94</v>
      </c>
      <c r="B1" t="s">
        <v>95</v>
      </c>
      <c r="C1" t="s">
        <v>96</v>
      </c>
      <c r="D1" t="s">
        <v>76</v>
      </c>
      <c r="E1" t="s">
        <v>77</v>
      </c>
      <c r="F1" t="s">
        <v>97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s="58" t="s">
        <v>90</v>
      </c>
      <c r="T1" s="58" t="s">
        <v>91</v>
      </c>
      <c r="U1" t="s">
        <v>92</v>
      </c>
    </row>
    <row r="2" spans="1:21" x14ac:dyDescent="0.35">
      <c r="A2" t="s">
        <v>98</v>
      </c>
      <c r="B2" t="s">
        <v>99</v>
      </c>
      <c r="C2">
        <v>0</v>
      </c>
      <c r="D2" s="63">
        <v>43831</v>
      </c>
      <c r="F2">
        <v>350122</v>
      </c>
      <c r="G2" t="s">
        <v>100</v>
      </c>
      <c r="I2" t="s">
        <v>101</v>
      </c>
      <c r="J2">
        <v>426433</v>
      </c>
      <c r="K2" t="s">
        <v>102</v>
      </c>
      <c r="L2">
        <v>3.59</v>
      </c>
      <c r="O2" t="s">
        <v>103</v>
      </c>
      <c r="S2" s="63">
        <v>46023</v>
      </c>
      <c r="T2" s="63">
        <v>46053.999305555553</v>
      </c>
      <c r="U2" t="s">
        <v>104</v>
      </c>
    </row>
    <row r="3" spans="1:21" x14ac:dyDescent="0.35">
      <c r="A3" t="s">
        <v>98</v>
      </c>
      <c r="B3" t="s">
        <v>99</v>
      </c>
      <c r="C3">
        <v>0</v>
      </c>
      <c r="D3" s="63">
        <v>43831</v>
      </c>
      <c r="F3">
        <v>350123</v>
      </c>
      <c r="G3" t="s">
        <v>100</v>
      </c>
      <c r="I3" t="s">
        <v>101</v>
      </c>
      <c r="J3">
        <v>426433</v>
      </c>
      <c r="K3" t="s">
        <v>102</v>
      </c>
      <c r="L3">
        <v>3.46</v>
      </c>
      <c r="O3" t="s">
        <v>103</v>
      </c>
      <c r="S3" s="63">
        <v>46023</v>
      </c>
      <c r="T3" s="63">
        <v>46053.999305555553</v>
      </c>
      <c r="U3" t="s">
        <v>104</v>
      </c>
    </row>
    <row r="4" spans="1:21" x14ac:dyDescent="0.35">
      <c r="A4" t="s">
        <v>98</v>
      </c>
      <c r="B4" t="s">
        <v>99</v>
      </c>
      <c r="C4">
        <v>0</v>
      </c>
      <c r="D4" s="63">
        <v>43831</v>
      </c>
      <c r="F4">
        <v>351066</v>
      </c>
      <c r="G4" t="s">
        <v>100</v>
      </c>
      <c r="I4" t="s">
        <v>101</v>
      </c>
      <c r="J4">
        <v>426433</v>
      </c>
      <c r="K4" t="s">
        <v>102</v>
      </c>
      <c r="L4">
        <v>3.54</v>
      </c>
      <c r="O4" t="s">
        <v>103</v>
      </c>
      <c r="S4" s="63">
        <v>46023</v>
      </c>
      <c r="T4" s="63">
        <v>46053.999305555553</v>
      </c>
      <c r="U4" t="s">
        <v>104</v>
      </c>
    </row>
    <row r="5" spans="1:21" x14ac:dyDescent="0.35">
      <c r="A5" t="s">
        <v>98</v>
      </c>
      <c r="B5" t="s">
        <v>99</v>
      </c>
      <c r="C5">
        <v>0</v>
      </c>
      <c r="D5" s="63">
        <v>43831</v>
      </c>
      <c r="F5">
        <v>351067</v>
      </c>
      <c r="G5" t="s">
        <v>100</v>
      </c>
      <c r="I5" t="s">
        <v>101</v>
      </c>
      <c r="J5">
        <v>426433</v>
      </c>
      <c r="K5" t="s">
        <v>102</v>
      </c>
      <c r="L5">
        <v>3.39</v>
      </c>
      <c r="O5" t="s">
        <v>103</v>
      </c>
      <c r="S5" s="63">
        <v>46023</v>
      </c>
      <c r="T5" s="63">
        <v>46053.999305555553</v>
      </c>
      <c r="U5" t="s">
        <v>104</v>
      </c>
    </row>
    <row r="6" spans="1:21" x14ac:dyDescent="0.35">
      <c r="A6" t="s">
        <v>98</v>
      </c>
      <c r="B6" t="s">
        <v>99</v>
      </c>
      <c r="C6">
        <v>0</v>
      </c>
      <c r="D6" s="63">
        <v>43831</v>
      </c>
      <c r="F6">
        <v>351068</v>
      </c>
      <c r="G6" t="s">
        <v>100</v>
      </c>
      <c r="I6" t="s">
        <v>101</v>
      </c>
      <c r="J6">
        <v>426433</v>
      </c>
      <c r="K6" t="s">
        <v>102</v>
      </c>
      <c r="L6">
        <v>3.33</v>
      </c>
      <c r="O6" t="s">
        <v>103</v>
      </c>
      <c r="S6" s="63">
        <v>46023</v>
      </c>
      <c r="T6" s="63">
        <v>46053.999305555553</v>
      </c>
      <c r="U6" t="s">
        <v>104</v>
      </c>
    </row>
    <row r="7" spans="1:21" x14ac:dyDescent="0.35">
      <c r="A7" t="s">
        <v>98</v>
      </c>
      <c r="B7" t="s">
        <v>99</v>
      </c>
      <c r="C7">
        <v>0</v>
      </c>
      <c r="D7" s="63">
        <v>43831</v>
      </c>
      <c r="F7">
        <v>351069</v>
      </c>
      <c r="G7" t="s">
        <v>100</v>
      </c>
      <c r="I7" t="s">
        <v>101</v>
      </c>
      <c r="J7">
        <v>426433</v>
      </c>
      <c r="K7" t="s">
        <v>102</v>
      </c>
      <c r="L7">
        <v>3.19</v>
      </c>
      <c r="O7" t="s">
        <v>103</v>
      </c>
      <c r="S7" s="63">
        <v>46023</v>
      </c>
      <c r="T7" s="63">
        <v>46053.999305555553</v>
      </c>
      <c r="U7" t="s">
        <v>104</v>
      </c>
    </row>
    <row r="8" spans="1:21" x14ac:dyDescent="0.35">
      <c r="A8" t="s">
        <v>98</v>
      </c>
      <c r="B8" t="s">
        <v>99</v>
      </c>
      <c r="C8">
        <v>0</v>
      </c>
      <c r="D8" s="63">
        <v>43831</v>
      </c>
      <c r="F8">
        <v>350124</v>
      </c>
      <c r="G8" t="s">
        <v>100</v>
      </c>
      <c r="I8" t="s">
        <v>101</v>
      </c>
      <c r="J8">
        <v>426433</v>
      </c>
      <c r="K8" t="s">
        <v>102</v>
      </c>
      <c r="L8">
        <v>3.11</v>
      </c>
      <c r="O8" t="s">
        <v>103</v>
      </c>
      <c r="S8" s="63">
        <v>46023</v>
      </c>
      <c r="T8" s="63">
        <v>46053.999305555553</v>
      </c>
      <c r="U8" t="s">
        <v>104</v>
      </c>
    </row>
    <row r="9" spans="1:21" x14ac:dyDescent="0.35">
      <c r="A9" t="s">
        <v>98</v>
      </c>
      <c r="B9" t="s">
        <v>99</v>
      </c>
      <c r="C9">
        <v>0</v>
      </c>
      <c r="D9" s="63">
        <v>43831</v>
      </c>
      <c r="F9">
        <v>340013</v>
      </c>
      <c r="G9" t="s">
        <v>100</v>
      </c>
      <c r="I9" t="s">
        <v>101</v>
      </c>
      <c r="J9">
        <v>426433</v>
      </c>
      <c r="K9" t="s">
        <v>102</v>
      </c>
      <c r="L9">
        <v>3.6</v>
      </c>
      <c r="O9" t="s">
        <v>103</v>
      </c>
      <c r="S9" s="63">
        <v>46023</v>
      </c>
      <c r="T9" s="63">
        <v>46053.999305555553</v>
      </c>
      <c r="U9" t="s">
        <v>104</v>
      </c>
    </row>
    <row r="10" spans="1:21" x14ac:dyDescent="0.35">
      <c r="A10" t="s">
        <v>98</v>
      </c>
      <c r="B10" t="s">
        <v>99</v>
      </c>
      <c r="C10">
        <v>0</v>
      </c>
      <c r="D10" s="63">
        <v>43831</v>
      </c>
      <c r="F10">
        <v>340036</v>
      </c>
      <c r="G10" t="s">
        <v>100</v>
      </c>
      <c r="I10" t="s">
        <v>101</v>
      </c>
      <c r="J10">
        <v>426433</v>
      </c>
      <c r="K10" t="s">
        <v>102</v>
      </c>
      <c r="L10">
        <v>3.48</v>
      </c>
      <c r="O10" t="s">
        <v>103</v>
      </c>
      <c r="S10" s="63">
        <v>46023</v>
      </c>
      <c r="T10" s="63">
        <v>46053.999305555553</v>
      </c>
      <c r="U10" t="s">
        <v>104</v>
      </c>
    </row>
    <row r="11" spans="1:21" x14ac:dyDescent="0.35">
      <c r="A11" t="s">
        <v>98</v>
      </c>
      <c r="B11" t="s">
        <v>99</v>
      </c>
      <c r="C11">
        <v>0</v>
      </c>
      <c r="D11" s="63">
        <v>43831</v>
      </c>
      <c r="F11">
        <v>342022</v>
      </c>
      <c r="G11" t="s">
        <v>100</v>
      </c>
      <c r="I11" t="s">
        <v>101</v>
      </c>
      <c r="J11">
        <v>426433</v>
      </c>
      <c r="K11" t="s">
        <v>102</v>
      </c>
      <c r="L11">
        <v>3.89</v>
      </c>
      <c r="O11" t="s">
        <v>105</v>
      </c>
      <c r="S11" s="63">
        <v>46023</v>
      </c>
      <c r="T11" s="63">
        <v>46053.999305555553</v>
      </c>
      <c r="U11" t="s">
        <v>104</v>
      </c>
    </row>
    <row r="12" spans="1:21" x14ac:dyDescent="0.35">
      <c r="A12" t="s">
        <v>98</v>
      </c>
      <c r="B12" t="s">
        <v>99</v>
      </c>
      <c r="C12">
        <v>0</v>
      </c>
      <c r="D12" s="63">
        <v>43831</v>
      </c>
      <c r="F12">
        <v>340100</v>
      </c>
      <c r="G12" t="s">
        <v>100</v>
      </c>
      <c r="I12" t="s">
        <v>101</v>
      </c>
      <c r="J12">
        <v>426433</v>
      </c>
      <c r="K12" t="s">
        <v>102</v>
      </c>
      <c r="L12">
        <v>4.4800000000000004</v>
      </c>
      <c r="O12" t="s">
        <v>103</v>
      </c>
      <c r="S12" s="63">
        <v>46023</v>
      </c>
      <c r="T12" s="63">
        <v>46053.999305555553</v>
      </c>
      <c r="U12" t="s">
        <v>104</v>
      </c>
    </row>
    <row r="13" spans="1:21" x14ac:dyDescent="0.35">
      <c r="A13" t="s">
        <v>98</v>
      </c>
      <c r="B13" t="s">
        <v>99</v>
      </c>
      <c r="C13">
        <v>0</v>
      </c>
      <c r="D13" s="63">
        <v>43831</v>
      </c>
      <c r="F13">
        <v>340776</v>
      </c>
      <c r="G13" t="s">
        <v>100</v>
      </c>
      <c r="I13" t="s">
        <v>101</v>
      </c>
      <c r="J13">
        <v>426433</v>
      </c>
      <c r="K13" t="s">
        <v>102</v>
      </c>
      <c r="L13">
        <v>2.23</v>
      </c>
      <c r="O13" t="s">
        <v>103</v>
      </c>
      <c r="S13" s="63">
        <v>46023</v>
      </c>
      <c r="T13" s="63">
        <v>46053.999305555553</v>
      </c>
      <c r="U13" t="s">
        <v>104</v>
      </c>
    </row>
    <row r="14" spans="1:21" x14ac:dyDescent="0.35">
      <c r="A14" t="s">
        <v>98</v>
      </c>
      <c r="B14" t="s">
        <v>99</v>
      </c>
      <c r="C14">
        <v>0</v>
      </c>
      <c r="D14" s="63">
        <v>43831</v>
      </c>
      <c r="F14">
        <v>340789</v>
      </c>
      <c r="G14" t="s">
        <v>100</v>
      </c>
      <c r="I14" t="s">
        <v>101</v>
      </c>
      <c r="J14">
        <v>426433</v>
      </c>
      <c r="K14" t="s">
        <v>102</v>
      </c>
      <c r="L14">
        <v>2.78</v>
      </c>
      <c r="O14" t="s">
        <v>103</v>
      </c>
      <c r="S14" s="63">
        <v>46023</v>
      </c>
      <c r="T14" s="63">
        <v>46053.999305555553</v>
      </c>
      <c r="U14" t="s">
        <v>104</v>
      </c>
    </row>
    <row r="15" spans="1:21" x14ac:dyDescent="0.35">
      <c r="A15" t="s">
        <v>98</v>
      </c>
      <c r="B15" t="s">
        <v>99</v>
      </c>
      <c r="C15">
        <v>0</v>
      </c>
      <c r="D15" s="63">
        <v>43831</v>
      </c>
      <c r="F15">
        <v>341656</v>
      </c>
      <c r="G15" t="s">
        <v>100</v>
      </c>
      <c r="I15" t="s">
        <v>101</v>
      </c>
      <c r="J15">
        <v>426433</v>
      </c>
      <c r="K15" t="s">
        <v>102</v>
      </c>
      <c r="L15">
        <v>2.33</v>
      </c>
      <c r="O15" t="s">
        <v>103</v>
      </c>
      <c r="S15" s="63">
        <v>46023</v>
      </c>
      <c r="T15" s="63">
        <v>46053.999305555553</v>
      </c>
      <c r="U15" t="s">
        <v>104</v>
      </c>
    </row>
    <row r="16" spans="1:21" x14ac:dyDescent="0.35">
      <c r="A16" t="s">
        <v>98</v>
      </c>
      <c r="B16" t="s">
        <v>99</v>
      </c>
      <c r="C16">
        <v>0</v>
      </c>
      <c r="D16" s="63">
        <v>43831</v>
      </c>
      <c r="F16">
        <v>341657</v>
      </c>
      <c r="G16" t="s">
        <v>100</v>
      </c>
      <c r="I16" t="s">
        <v>101</v>
      </c>
      <c r="J16">
        <v>426433</v>
      </c>
      <c r="K16" t="s">
        <v>102</v>
      </c>
      <c r="L16">
        <v>2.2400000000000002</v>
      </c>
      <c r="O16" t="s">
        <v>103</v>
      </c>
      <c r="S16" s="63">
        <v>46023</v>
      </c>
      <c r="T16" s="63">
        <v>46053.999305555553</v>
      </c>
      <c r="U16" t="s">
        <v>104</v>
      </c>
    </row>
    <row r="17" spans="1:21" x14ac:dyDescent="0.35">
      <c r="A17" t="s">
        <v>98</v>
      </c>
      <c r="B17" t="s">
        <v>99</v>
      </c>
      <c r="C17">
        <v>0</v>
      </c>
      <c r="D17" s="63">
        <v>43831</v>
      </c>
      <c r="F17">
        <v>341658</v>
      </c>
      <c r="G17" t="s">
        <v>100</v>
      </c>
      <c r="I17" t="s">
        <v>101</v>
      </c>
      <c r="J17">
        <v>426433</v>
      </c>
      <c r="K17" t="s">
        <v>102</v>
      </c>
      <c r="L17">
        <v>2.16</v>
      </c>
      <c r="O17" t="s">
        <v>103</v>
      </c>
      <c r="S17" s="63">
        <v>46023</v>
      </c>
      <c r="T17" s="63">
        <v>46053.999305555553</v>
      </c>
      <c r="U17" t="s">
        <v>104</v>
      </c>
    </row>
    <row r="18" spans="1:21" x14ac:dyDescent="0.35">
      <c r="A18" t="s">
        <v>98</v>
      </c>
      <c r="B18" t="s">
        <v>99</v>
      </c>
      <c r="C18">
        <v>0</v>
      </c>
      <c r="D18" s="63">
        <v>43831</v>
      </c>
      <c r="F18">
        <v>341659</v>
      </c>
      <c r="G18" t="s">
        <v>100</v>
      </c>
      <c r="I18" t="s">
        <v>101</v>
      </c>
      <c r="J18">
        <v>426433</v>
      </c>
      <c r="K18" t="s">
        <v>102</v>
      </c>
      <c r="L18">
        <v>2.11</v>
      </c>
      <c r="O18" t="s">
        <v>103</v>
      </c>
      <c r="S18" s="63">
        <v>46023</v>
      </c>
      <c r="T18" s="63">
        <v>46053.999305555553</v>
      </c>
      <c r="U18" t="s">
        <v>104</v>
      </c>
    </row>
    <row r="19" spans="1:21" x14ac:dyDescent="0.35">
      <c r="A19" t="s">
        <v>98</v>
      </c>
      <c r="B19" t="s">
        <v>99</v>
      </c>
      <c r="C19">
        <v>0</v>
      </c>
      <c r="D19" s="63">
        <v>43831</v>
      </c>
      <c r="F19">
        <v>341686</v>
      </c>
      <c r="G19" t="s">
        <v>100</v>
      </c>
      <c r="I19" t="s">
        <v>101</v>
      </c>
      <c r="J19">
        <v>426433</v>
      </c>
      <c r="K19" t="s">
        <v>102</v>
      </c>
      <c r="L19">
        <v>4.49</v>
      </c>
      <c r="O19" t="s">
        <v>103</v>
      </c>
      <c r="S19" s="63">
        <v>46023</v>
      </c>
      <c r="T19" s="63">
        <v>46053.999305555553</v>
      </c>
      <c r="U19" t="s">
        <v>104</v>
      </c>
    </row>
    <row r="20" spans="1:21" x14ac:dyDescent="0.35">
      <c r="A20" t="s">
        <v>98</v>
      </c>
      <c r="B20" t="s">
        <v>99</v>
      </c>
      <c r="C20">
        <v>0</v>
      </c>
      <c r="D20" s="63">
        <v>43831</v>
      </c>
      <c r="F20">
        <v>341687</v>
      </c>
      <c r="G20" t="s">
        <v>100</v>
      </c>
      <c r="I20" t="s">
        <v>101</v>
      </c>
      <c r="J20">
        <v>426433</v>
      </c>
      <c r="K20" t="s">
        <v>102</v>
      </c>
      <c r="L20">
        <v>2.82</v>
      </c>
      <c r="O20" t="s">
        <v>103</v>
      </c>
      <c r="S20" s="63">
        <v>46023</v>
      </c>
      <c r="T20" s="63">
        <v>46053.999305555553</v>
      </c>
      <c r="U20" t="s">
        <v>104</v>
      </c>
    </row>
    <row r="21" spans="1:21" x14ac:dyDescent="0.35">
      <c r="A21" t="s">
        <v>98</v>
      </c>
      <c r="B21" t="s">
        <v>99</v>
      </c>
      <c r="C21">
        <v>0</v>
      </c>
      <c r="D21" s="63">
        <v>43831</v>
      </c>
      <c r="F21">
        <v>342123</v>
      </c>
      <c r="G21" t="s">
        <v>100</v>
      </c>
      <c r="I21" t="s">
        <v>101</v>
      </c>
      <c r="J21">
        <v>426433</v>
      </c>
      <c r="K21" t="s">
        <v>102</v>
      </c>
      <c r="L21">
        <v>2.4500000000000002</v>
      </c>
      <c r="O21" t="s">
        <v>103</v>
      </c>
      <c r="S21" s="63">
        <v>46023</v>
      </c>
      <c r="T21" s="63">
        <v>46053.999305555553</v>
      </c>
      <c r="U21" t="s">
        <v>104</v>
      </c>
    </row>
    <row r="22" spans="1:21" x14ac:dyDescent="0.35">
      <c r="A22" t="s">
        <v>98</v>
      </c>
      <c r="B22" t="s">
        <v>99</v>
      </c>
      <c r="C22">
        <v>0</v>
      </c>
      <c r="D22" s="63">
        <v>43831</v>
      </c>
      <c r="F22">
        <v>341625</v>
      </c>
      <c r="G22" t="s">
        <v>100</v>
      </c>
      <c r="I22" t="s">
        <v>101</v>
      </c>
      <c r="J22">
        <v>426433</v>
      </c>
      <c r="K22" t="s">
        <v>102</v>
      </c>
      <c r="L22">
        <v>7.62</v>
      </c>
      <c r="O22" t="s">
        <v>103</v>
      </c>
      <c r="S22" s="63">
        <v>46023</v>
      </c>
      <c r="T22" s="63">
        <v>46053.999305555553</v>
      </c>
      <c r="U22" t="s">
        <v>104</v>
      </c>
    </row>
    <row r="23" spans="1:21" x14ac:dyDescent="0.35">
      <c r="A23" t="s">
        <v>98</v>
      </c>
      <c r="B23" t="s">
        <v>99</v>
      </c>
      <c r="C23">
        <v>0</v>
      </c>
      <c r="D23" s="63">
        <v>43831</v>
      </c>
      <c r="F23">
        <v>341155</v>
      </c>
      <c r="G23" t="s">
        <v>100</v>
      </c>
      <c r="I23" t="s">
        <v>101</v>
      </c>
      <c r="J23">
        <v>426433</v>
      </c>
      <c r="K23" t="s">
        <v>102</v>
      </c>
      <c r="L23">
        <v>5.39</v>
      </c>
      <c r="O23" t="s">
        <v>103</v>
      </c>
      <c r="S23" s="63">
        <v>46023</v>
      </c>
      <c r="T23" s="63">
        <v>46053.999305555553</v>
      </c>
      <c r="U23" t="s">
        <v>104</v>
      </c>
    </row>
    <row r="24" spans="1:21" x14ac:dyDescent="0.35">
      <c r="A24" t="s">
        <v>98</v>
      </c>
      <c r="B24" t="s">
        <v>99</v>
      </c>
      <c r="C24">
        <v>0</v>
      </c>
      <c r="D24" s="63">
        <v>43831</v>
      </c>
      <c r="F24">
        <v>341156</v>
      </c>
      <c r="G24" t="s">
        <v>100</v>
      </c>
      <c r="I24" t="s">
        <v>101</v>
      </c>
      <c r="J24">
        <v>426433</v>
      </c>
      <c r="K24" t="s">
        <v>102</v>
      </c>
      <c r="L24">
        <v>5.0999999999999996</v>
      </c>
      <c r="O24" t="s">
        <v>103</v>
      </c>
      <c r="S24" s="63">
        <v>46023</v>
      </c>
      <c r="T24" s="63">
        <v>46053.999305555553</v>
      </c>
      <c r="U24" t="s">
        <v>104</v>
      </c>
    </row>
    <row r="25" spans="1:21" x14ac:dyDescent="0.35">
      <c r="A25" t="s">
        <v>98</v>
      </c>
      <c r="B25" t="s">
        <v>99</v>
      </c>
      <c r="C25">
        <v>0</v>
      </c>
      <c r="D25" s="63">
        <v>43831</v>
      </c>
      <c r="F25">
        <v>341157</v>
      </c>
      <c r="G25" t="s">
        <v>100</v>
      </c>
      <c r="I25" t="s">
        <v>101</v>
      </c>
      <c r="J25">
        <v>426433</v>
      </c>
      <c r="K25" t="s">
        <v>102</v>
      </c>
      <c r="L25">
        <v>4.93</v>
      </c>
      <c r="O25" t="s">
        <v>103</v>
      </c>
      <c r="S25" s="63">
        <v>46023</v>
      </c>
      <c r="T25" s="63">
        <v>46053.999305555553</v>
      </c>
      <c r="U25" t="s">
        <v>104</v>
      </c>
    </row>
    <row r="26" spans="1:21" x14ac:dyDescent="0.35">
      <c r="A26" t="s">
        <v>98</v>
      </c>
      <c r="B26" t="s">
        <v>99</v>
      </c>
      <c r="C26">
        <v>0</v>
      </c>
      <c r="D26" s="63">
        <v>43831</v>
      </c>
      <c r="F26">
        <v>341159</v>
      </c>
      <c r="G26" t="s">
        <v>100</v>
      </c>
      <c r="I26" t="s">
        <v>101</v>
      </c>
      <c r="J26">
        <v>426433</v>
      </c>
      <c r="K26" t="s">
        <v>102</v>
      </c>
      <c r="L26">
        <v>4.25</v>
      </c>
      <c r="O26" t="s">
        <v>103</v>
      </c>
      <c r="S26" s="63">
        <v>46023</v>
      </c>
      <c r="T26" s="63">
        <v>46053.999305555553</v>
      </c>
      <c r="U26" t="s">
        <v>104</v>
      </c>
    </row>
    <row r="27" spans="1:21" x14ac:dyDescent="0.35">
      <c r="A27" t="s">
        <v>98</v>
      </c>
      <c r="B27" t="s">
        <v>99</v>
      </c>
      <c r="C27">
        <v>0</v>
      </c>
      <c r="D27" s="63">
        <v>43831</v>
      </c>
      <c r="F27">
        <v>342038</v>
      </c>
      <c r="G27" t="s">
        <v>100</v>
      </c>
      <c r="I27" t="s">
        <v>101</v>
      </c>
      <c r="J27">
        <v>426433</v>
      </c>
      <c r="K27" t="s">
        <v>102</v>
      </c>
      <c r="L27">
        <v>20.329999999999998</v>
      </c>
      <c r="O27" t="s">
        <v>103</v>
      </c>
      <c r="S27" s="63">
        <v>46023</v>
      </c>
      <c r="T27" s="63">
        <v>46053.999305555553</v>
      </c>
      <c r="U27" t="s">
        <v>104</v>
      </c>
    </row>
    <row r="28" spans="1:21" x14ac:dyDescent="0.35">
      <c r="A28" t="s">
        <v>98</v>
      </c>
      <c r="B28" t="s">
        <v>99</v>
      </c>
      <c r="C28">
        <v>0</v>
      </c>
      <c r="D28" s="63">
        <v>43831</v>
      </c>
      <c r="F28">
        <v>340044</v>
      </c>
      <c r="G28" t="s">
        <v>100</v>
      </c>
      <c r="I28" t="s">
        <v>101</v>
      </c>
      <c r="J28">
        <v>426433</v>
      </c>
      <c r="K28" t="s">
        <v>102</v>
      </c>
      <c r="L28">
        <v>0.26</v>
      </c>
      <c r="O28" t="s">
        <v>103</v>
      </c>
      <c r="S28" s="63">
        <v>46023</v>
      </c>
      <c r="T28" s="63">
        <v>46053.999305555553</v>
      </c>
      <c r="U28" t="s">
        <v>104</v>
      </c>
    </row>
    <row r="29" spans="1:21" x14ac:dyDescent="0.35">
      <c r="A29" t="s">
        <v>98</v>
      </c>
      <c r="B29" t="s">
        <v>99</v>
      </c>
      <c r="C29">
        <v>0</v>
      </c>
      <c r="D29" s="63">
        <v>43831</v>
      </c>
      <c r="F29">
        <v>340914</v>
      </c>
      <c r="G29" t="s">
        <v>100</v>
      </c>
      <c r="I29" t="s">
        <v>101</v>
      </c>
      <c r="J29">
        <v>426433</v>
      </c>
      <c r="K29" t="s">
        <v>102</v>
      </c>
      <c r="L29">
        <v>2.98</v>
      </c>
      <c r="O29" t="s">
        <v>103</v>
      </c>
      <c r="S29" s="63">
        <v>46023</v>
      </c>
      <c r="T29" s="63">
        <v>46053.999305555553</v>
      </c>
      <c r="U29" t="s">
        <v>104</v>
      </c>
    </row>
    <row r="30" spans="1:21" x14ac:dyDescent="0.35">
      <c r="A30" t="s">
        <v>98</v>
      </c>
      <c r="B30" t="s">
        <v>99</v>
      </c>
      <c r="C30">
        <v>0</v>
      </c>
      <c r="D30" s="63">
        <v>43831</v>
      </c>
      <c r="F30">
        <v>342069</v>
      </c>
      <c r="G30" t="s">
        <v>100</v>
      </c>
      <c r="I30" t="s">
        <v>101</v>
      </c>
      <c r="J30">
        <v>426433</v>
      </c>
      <c r="K30" t="s">
        <v>102</v>
      </c>
      <c r="L30">
        <v>2.3199999999999998</v>
      </c>
      <c r="O30" t="s">
        <v>103</v>
      </c>
      <c r="S30" s="63">
        <v>46023</v>
      </c>
      <c r="T30" s="63">
        <v>46053.999305555553</v>
      </c>
      <c r="U30" t="s">
        <v>104</v>
      </c>
    </row>
    <row r="31" spans="1:21" x14ac:dyDescent="0.35">
      <c r="A31" t="s">
        <v>98</v>
      </c>
      <c r="B31" t="s">
        <v>99</v>
      </c>
      <c r="C31">
        <v>0</v>
      </c>
      <c r="D31" s="63">
        <v>43831</v>
      </c>
      <c r="F31">
        <v>341992</v>
      </c>
      <c r="G31" t="s">
        <v>100</v>
      </c>
      <c r="I31" t="s">
        <v>101</v>
      </c>
      <c r="J31">
        <v>426433</v>
      </c>
      <c r="K31" t="s">
        <v>102</v>
      </c>
      <c r="L31">
        <v>6.82</v>
      </c>
      <c r="O31" t="s">
        <v>103</v>
      </c>
      <c r="S31" s="63">
        <v>46023</v>
      </c>
      <c r="T31" s="63">
        <v>46053.999305555553</v>
      </c>
      <c r="U31" t="s">
        <v>104</v>
      </c>
    </row>
    <row r="32" spans="1:21" x14ac:dyDescent="0.35">
      <c r="A32" t="s">
        <v>98</v>
      </c>
      <c r="B32" t="s">
        <v>99</v>
      </c>
      <c r="C32">
        <v>0</v>
      </c>
      <c r="D32" s="63">
        <v>43831</v>
      </c>
      <c r="F32">
        <v>341411</v>
      </c>
      <c r="G32" t="s">
        <v>100</v>
      </c>
      <c r="I32" t="s">
        <v>101</v>
      </c>
      <c r="J32">
        <v>426433</v>
      </c>
      <c r="K32" t="s">
        <v>102</v>
      </c>
      <c r="L32">
        <v>8.16</v>
      </c>
      <c r="O32" t="s">
        <v>103</v>
      </c>
      <c r="S32" s="63">
        <v>46023</v>
      </c>
      <c r="T32" s="63">
        <v>46053.999305555553</v>
      </c>
      <c r="U32" t="s">
        <v>104</v>
      </c>
    </row>
    <row r="33" spans="1:21" x14ac:dyDescent="0.35">
      <c r="A33" t="s">
        <v>98</v>
      </c>
      <c r="B33" t="s">
        <v>99</v>
      </c>
      <c r="C33">
        <v>0</v>
      </c>
      <c r="D33" s="63">
        <v>43831</v>
      </c>
      <c r="F33">
        <v>341412</v>
      </c>
      <c r="G33" t="s">
        <v>100</v>
      </c>
      <c r="I33" t="s">
        <v>101</v>
      </c>
      <c r="J33">
        <v>426433</v>
      </c>
      <c r="K33" t="s">
        <v>102</v>
      </c>
      <c r="L33">
        <v>7.95</v>
      </c>
      <c r="O33" t="s">
        <v>103</v>
      </c>
      <c r="S33" s="63">
        <v>46023</v>
      </c>
      <c r="T33" s="63">
        <v>46053.999305555553</v>
      </c>
      <c r="U33" t="s">
        <v>104</v>
      </c>
    </row>
    <row r="34" spans="1:21" x14ac:dyDescent="0.35">
      <c r="A34" t="s">
        <v>98</v>
      </c>
      <c r="B34" t="s">
        <v>99</v>
      </c>
      <c r="C34">
        <v>0</v>
      </c>
      <c r="D34" s="63">
        <v>43831</v>
      </c>
      <c r="F34">
        <v>341177</v>
      </c>
      <c r="G34" t="s">
        <v>100</v>
      </c>
      <c r="I34" t="s">
        <v>101</v>
      </c>
      <c r="J34">
        <v>426433</v>
      </c>
      <c r="K34" t="s">
        <v>102</v>
      </c>
      <c r="L34">
        <v>3.09</v>
      </c>
      <c r="O34" t="s">
        <v>105</v>
      </c>
      <c r="S34" s="63">
        <v>46023</v>
      </c>
      <c r="T34" s="63">
        <v>46053.999305555553</v>
      </c>
      <c r="U34" t="s">
        <v>104</v>
      </c>
    </row>
    <row r="35" spans="1:21" x14ac:dyDescent="0.35">
      <c r="A35" t="s">
        <v>98</v>
      </c>
      <c r="B35" t="s">
        <v>99</v>
      </c>
      <c r="C35">
        <v>0</v>
      </c>
      <c r="D35" s="63">
        <v>43831</v>
      </c>
      <c r="F35">
        <v>340530</v>
      </c>
      <c r="G35" t="s">
        <v>100</v>
      </c>
      <c r="I35" t="s">
        <v>101</v>
      </c>
      <c r="J35">
        <v>426433</v>
      </c>
      <c r="K35" t="s">
        <v>102</v>
      </c>
      <c r="L35">
        <v>2.4500000000000002</v>
      </c>
      <c r="O35" t="s">
        <v>103</v>
      </c>
      <c r="S35" s="63">
        <v>46023</v>
      </c>
      <c r="T35" s="63">
        <v>46053.999305555553</v>
      </c>
      <c r="U35" t="s">
        <v>104</v>
      </c>
    </row>
    <row r="36" spans="1:21" x14ac:dyDescent="0.35">
      <c r="A36" t="s">
        <v>98</v>
      </c>
      <c r="B36" t="s">
        <v>99</v>
      </c>
      <c r="C36">
        <v>0</v>
      </c>
      <c r="D36" s="63">
        <v>43831</v>
      </c>
      <c r="F36">
        <v>340532</v>
      </c>
      <c r="G36" t="s">
        <v>100</v>
      </c>
      <c r="I36" t="s">
        <v>101</v>
      </c>
      <c r="J36">
        <v>426433</v>
      </c>
      <c r="K36" t="s">
        <v>102</v>
      </c>
      <c r="L36">
        <v>2.23</v>
      </c>
      <c r="O36" t="s">
        <v>103</v>
      </c>
      <c r="S36" s="63">
        <v>46023</v>
      </c>
      <c r="T36" s="63">
        <v>46053.999305555553</v>
      </c>
      <c r="U36" t="s">
        <v>104</v>
      </c>
    </row>
    <row r="37" spans="1:21" x14ac:dyDescent="0.35">
      <c r="A37" t="s">
        <v>98</v>
      </c>
      <c r="B37" t="s">
        <v>99</v>
      </c>
      <c r="C37">
        <v>0</v>
      </c>
      <c r="D37" s="63">
        <v>43831</v>
      </c>
      <c r="F37">
        <v>340052</v>
      </c>
      <c r="G37" t="s">
        <v>100</v>
      </c>
      <c r="I37" t="s">
        <v>101</v>
      </c>
      <c r="J37">
        <v>426433</v>
      </c>
      <c r="K37" t="s">
        <v>102</v>
      </c>
      <c r="L37">
        <v>4.0199999999999996</v>
      </c>
      <c r="O37" t="s">
        <v>103</v>
      </c>
      <c r="S37" s="63">
        <v>46023</v>
      </c>
      <c r="T37" s="63">
        <v>46053.999305555553</v>
      </c>
      <c r="U37" t="s">
        <v>104</v>
      </c>
    </row>
    <row r="38" spans="1:21" x14ac:dyDescent="0.35">
      <c r="A38" t="s">
        <v>98</v>
      </c>
      <c r="B38" t="s">
        <v>99</v>
      </c>
      <c r="C38">
        <v>0</v>
      </c>
      <c r="D38" s="63">
        <v>43831</v>
      </c>
      <c r="F38">
        <v>340528</v>
      </c>
      <c r="G38" t="s">
        <v>100</v>
      </c>
      <c r="I38" t="s">
        <v>101</v>
      </c>
      <c r="J38">
        <v>426433</v>
      </c>
      <c r="K38" t="s">
        <v>102</v>
      </c>
      <c r="L38">
        <v>2.4</v>
      </c>
      <c r="O38" t="s">
        <v>103</v>
      </c>
      <c r="S38" s="63">
        <v>46023</v>
      </c>
      <c r="T38" s="63">
        <v>46053.999305555553</v>
      </c>
      <c r="U38" t="s">
        <v>104</v>
      </c>
    </row>
    <row r="39" spans="1:21" x14ac:dyDescent="0.35">
      <c r="A39" t="s">
        <v>98</v>
      </c>
      <c r="B39" t="s">
        <v>99</v>
      </c>
      <c r="C39">
        <v>0</v>
      </c>
      <c r="D39" s="63">
        <v>43831</v>
      </c>
      <c r="F39">
        <v>341497</v>
      </c>
      <c r="G39" t="s">
        <v>100</v>
      </c>
      <c r="I39" t="s">
        <v>101</v>
      </c>
      <c r="J39">
        <v>426433</v>
      </c>
      <c r="K39" t="s">
        <v>102</v>
      </c>
      <c r="L39">
        <v>4.1500000000000004</v>
      </c>
      <c r="O39" t="s">
        <v>103</v>
      </c>
      <c r="S39" s="63">
        <v>46023</v>
      </c>
      <c r="T39" s="63">
        <v>46053.999305555553</v>
      </c>
      <c r="U39" t="s">
        <v>104</v>
      </c>
    </row>
    <row r="40" spans="1:21" x14ac:dyDescent="0.35">
      <c r="A40" t="s">
        <v>98</v>
      </c>
      <c r="B40" t="s">
        <v>99</v>
      </c>
      <c r="C40">
        <v>0</v>
      </c>
      <c r="D40" s="63">
        <v>43831</v>
      </c>
      <c r="F40">
        <v>340351</v>
      </c>
      <c r="G40" t="s">
        <v>100</v>
      </c>
      <c r="I40" t="s">
        <v>101</v>
      </c>
      <c r="J40">
        <v>426433</v>
      </c>
      <c r="K40" t="s">
        <v>102</v>
      </c>
      <c r="L40">
        <v>6.25</v>
      </c>
      <c r="O40" t="s">
        <v>103</v>
      </c>
      <c r="S40" s="63">
        <v>46023</v>
      </c>
      <c r="T40" s="63">
        <v>46053.999305555553</v>
      </c>
      <c r="U40" t="s">
        <v>104</v>
      </c>
    </row>
    <row r="41" spans="1:21" x14ac:dyDescent="0.35">
      <c r="A41" t="s">
        <v>98</v>
      </c>
      <c r="B41" t="s">
        <v>99</v>
      </c>
      <c r="C41">
        <v>0</v>
      </c>
      <c r="D41" s="63">
        <v>43831</v>
      </c>
      <c r="F41">
        <v>341622</v>
      </c>
      <c r="G41" t="s">
        <v>100</v>
      </c>
      <c r="I41" t="s">
        <v>101</v>
      </c>
      <c r="J41">
        <v>426433</v>
      </c>
      <c r="K41" t="s">
        <v>102</v>
      </c>
      <c r="L41">
        <v>3.83</v>
      </c>
      <c r="O41" t="s">
        <v>103</v>
      </c>
      <c r="S41" s="63">
        <v>46023</v>
      </c>
      <c r="T41" s="63">
        <v>46053.999305555553</v>
      </c>
      <c r="U41" t="s">
        <v>104</v>
      </c>
    </row>
    <row r="42" spans="1:21" x14ac:dyDescent="0.35">
      <c r="A42" t="s">
        <v>98</v>
      </c>
      <c r="B42" t="s">
        <v>99</v>
      </c>
      <c r="C42">
        <v>0</v>
      </c>
      <c r="D42" s="63">
        <v>43831</v>
      </c>
      <c r="F42">
        <v>340349</v>
      </c>
      <c r="G42" t="s">
        <v>100</v>
      </c>
      <c r="I42" t="s">
        <v>101</v>
      </c>
      <c r="J42">
        <v>426433</v>
      </c>
      <c r="K42" t="s">
        <v>102</v>
      </c>
      <c r="L42">
        <v>7.07</v>
      </c>
      <c r="O42" t="s">
        <v>103</v>
      </c>
      <c r="S42" s="63">
        <v>46023</v>
      </c>
      <c r="T42" s="63">
        <v>46053.999305555553</v>
      </c>
      <c r="U42" t="s">
        <v>104</v>
      </c>
    </row>
    <row r="43" spans="1:21" x14ac:dyDescent="0.35">
      <c r="A43" t="s">
        <v>98</v>
      </c>
      <c r="B43" t="s">
        <v>99</v>
      </c>
      <c r="C43">
        <v>0</v>
      </c>
      <c r="D43" s="63">
        <v>43831</v>
      </c>
      <c r="F43">
        <v>340350</v>
      </c>
      <c r="G43" t="s">
        <v>100</v>
      </c>
      <c r="I43" t="s">
        <v>101</v>
      </c>
      <c r="J43">
        <v>426433</v>
      </c>
      <c r="K43" t="s">
        <v>102</v>
      </c>
      <c r="L43">
        <v>7.83</v>
      </c>
      <c r="O43" t="s">
        <v>103</v>
      </c>
      <c r="S43" s="63">
        <v>46023</v>
      </c>
      <c r="T43" s="63">
        <v>46053.999305555553</v>
      </c>
      <c r="U43" t="s">
        <v>104</v>
      </c>
    </row>
    <row r="44" spans="1:21" x14ac:dyDescent="0.35">
      <c r="A44" t="s">
        <v>98</v>
      </c>
      <c r="B44" t="s">
        <v>99</v>
      </c>
      <c r="C44">
        <v>0</v>
      </c>
      <c r="D44" s="63">
        <v>43831</v>
      </c>
      <c r="F44">
        <v>340348</v>
      </c>
      <c r="G44" t="s">
        <v>100</v>
      </c>
      <c r="I44" t="s">
        <v>101</v>
      </c>
      <c r="J44">
        <v>426433</v>
      </c>
      <c r="K44" t="s">
        <v>102</v>
      </c>
      <c r="L44">
        <v>7.61</v>
      </c>
      <c r="O44" t="s">
        <v>103</v>
      </c>
      <c r="S44" s="63">
        <v>46023</v>
      </c>
      <c r="T44" s="63">
        <v>46053.999305555553</v>
      </c>
      <c r="U44" t="s">
        <v>104</v>
      </c>
    </row>
    <row r="45" spans="1:21" x14ac:dyDescent="0.35">
      <c r="A45" t="s">
        <v>98</v>
      </c>
      <c r="B45" t="s">
        <v>99</v>
      </c>
      <c r="C45">
        <v>0</v>
      </c>
      <c r="D45" s="63">
        <v>43831</v>
      </c>
      <c r="F45">
        <v>340529</v>
      </c>
      <c r="G45" t="s">
        <v>100</v>
      </c>
      <c r="I45" t="s">
        <v>101</v>
      </c>
      <c r="J45">
        <v>426433</v>
      </c>
      <c r="K45" t="s">
        <v>102</v>
      </c>
      <c r="L45">
        <v>2.31</v>
      </c>
      <c r="O45" t="s">
        <v>103</v>
      </c>
      <c r="S45" s="63">
        <v>46023</v>
      </c>
      <c r="T45" s="63">
        <v>46053.999305555553</v>
      </c>
      <c r="U45" t="s">
        <v>104</v>
      </c>
    </row>
    <row r="46" spans="1:21" x14ac:dyDescent="0.35">
      <c r="A46" t="s">
        <v>98</v>
      </c>
      <c r="B46" t="s">
        <v>99</v>
      </c>
      <c r="C46">
        <v>0</v>
      </c>
      <c r="D46" s="63">
        <v>43831</v>
      </c>
      <c r="F46">
        <v>341930</v>
      </c>
      <c r="G46" t="s">
        <v>100</v>
      </c>
      <c r="I46" t="s">
        <v>101</v>
      </c>
      <c r="J46">
        <v>426433</v>
      </c>
      <c r="K46" t="s">
        <v>102</v>
      </c>
      <c r="L46">
        <v>3.42</v>
      </c>
      <c r="O46" t="s">
        <v>103</v>
      </c>
      <c r="S46" s="63">
        <v>46023</v>
      </c>
      <c r="T46" s="63">
        <v>46053.999305555553</v>
      </c>
      <c r="U46" t="s">
        <v>104</v>
      </c>
    </row>
    <row r="47" spans="1:21" x14ac:dyDescent="0.35">
      <c r="A47" t="s">
        <v>98</v>
      </c>
      <c r="B47" t="s">
        <v>99</v>
      </c>
      <c r="C47">
        <v>0</v>
      </c>
      <c r="D47" s="63">
        <v>43831</v>
      </c>
      <c r="F47">
        <v>342081</v>
      </c>
      <c r="G47" t="s">
        <v>100</v>
      </c>
      <c r="I47" t="s">
        <v>101</v>
      </c>
      <c r="J47">
        <v>426433</v>
      </c>
      <c r="K47" t="s">
        <v>102</v>
      </c>
      <c r="L47">
        <v>2.13</v>
      </c>
      <c r="O47" t="s">
        <v>103</v>
      </c>
      <c r="S47" s="63">
        <v>46023</v>
      </c>
      <c r="T47" s="63">
        <v>46053.999305555553</v>
      </c>
      <c r="U47" t="s">
        <v>104</v>
      </c>
    </row>
    <row r="48" spans="1:21" x14ac:dyDescent="0.35">
      <c r="A48" t="s">
        <v>98</v>
      </c>
      <c r="B48" t="s">
        <v>99</v>
      </c>
      <c r="C48">
        <v>0</v>
      </c>
      <c r="D48" s="63">
        <v>43831</v>
      </c>
      <c r="F48">
        <v>342023</v>
      </c>
      <c r="G48" t="s">
        <v>100</v>
      </c>
      <c r="I48" t="s">
        <v>101</v>
      </c>
      <c r="J48">
        <v>426433</v>
      </c>
      <c r="K48" t="s">
        <v>102</v>
      </c>
      <c r="L48">
        <v>9.81</v>
      </c>
      <c r="O48" t="s">
        <v>105</v>
      </c>
      <c r="S48" s="63">
        <v>46023</v>
      </c>
      <c r="T48" s="63">
        <v>46053.999305555553</v>
      </c>
      <c r="U48" t="s">
        <v>104</v>
      </c>
    </row>
    <row r="49" spans="1:21" x14ac:dyDescent="0.35">
      <c r="A49" t="s">
        <v>98</v>
      </c>
      <c r="B49" t="s">
        <v>99</v>
      </c>
      <c r="C49">
        <v>0</v>
      </c>
      <c r="D49" s="63">
        <v>43831</v>
      </c>
      <c r="F49">
        <v>340919</v>
      </c>
      <c r="G49" t="s">
        <v>100</v>
      </c>
      <c r="I49" t="s">
        <v>101</v>
      </c>
      <c r="J49">
        <v>426433</v>
      </c>
      <c r="K49" t="s">
        <v>102</v>
      </c>
      <c r="L49">
        <v>10.16</v>
      </c>
      <c r="O49" t="s">
        <v>103</v>
      </c>
      <c r="S49" s="63">
        <v>46023</v>
      </c>
      <c r="T49" s="63">
        <v>46053.999305555553</v>
      </c>
      <c r="U49" t="s">
        <v>104</v>
      </c>
    </row>
    <row r="50" spans="1:21" x14ac:dyDescent="0.35">
      <c r="A50" t="s">
        <v>98</v>
      </c>
      <c r="B50" t="s">
        <v>99</v>
      </c>
      <c r="C50">
        <v>0</v>
      </c>
      <c r="D50" s="63">
        <v>43831</v>
      </c>
      <c r="F50">
        <v>340920</v>
      </c>
      <c r="G50" t="s">
        <v>100</v>
      </c>
      <c r="I50" t="s">
        <v>101</v>
      </c>
      <c r="J50">
        <v>426433</v>
      </c>
      <c r="K50" t="s">
        <v>102</v>
      </c>
      <c r="L50">
        <v>10.5</v>
      </c>
      <c r="O50" t="s">
        <v>103</v>
      </c>
      <c r="S50" s="63">
        <v>46023</v>
      </c>
      <c r="T50" s="63">
        <v>46053.999305555553</v>
      </c>
      <c r="U50" t="s">
        <v>104</v>
      </c>
    </row>
    <row r="51" spans="1:21" x14ac:dyDescent="0.35">
      <c r="A51" t="s">
        <v>98</v>
      </c>
      <c r="B51" t="s">
        <v>99</v>
      </c>
      <c r="C51">
        <v>0</v>
      </c>
      <c r="D51" s="63">
        <v>43831</v>
      </c>
      <c r="F51">
        <v>340921</v>
      </c>
      <c r="G51" t="s">
        <v>100</v>
      </c>
      <c r="I51" t="s">
        <v>101</v>
      </c>
      <c r="J51">
        <v>426433</v>
      </c>
      <c r="K51" t="s">
        <v>102</v>
      </c>
      <c r="L51">
        <v>9.7799999999999994</v>
      </c>
      <c r="O51" t="s">
        <v>103</v>
      </c>
      <c r="S51" s="63">
        <v>46023</v>
      </c>
      <c r="T51" s="63">
        <v>46053.999305555553</v>
      </c>
      <c r="U51" t="s">
        <v>104</v>
      </c>
    </row>
    <row r="52" spans="1:21" x14ac:dyDescent="0.35">
      <c r="A52" t="s">
        <v>98</v>
      </c>
      <c r="B52" t="s">
        <v>99</v>
      </c>
      <c r="C52">
        <v>0</v>
      </c>
      <c r="D52" s="63">
        <v>43831</v>
      </c>
      <c r="F52">
        <v>340923</v>
      </c>
      <c r="G52" t="s">
        <v>100</v>
      </c>
      <c r="I52" t="s">
        <v>101</v>
      </c>
      <c r="J52">
        <v>426433</v>
      </c>
      <c r="K52" t="s">
        <v>102</v>
      </c>
      <c r="L52">
        <v>10.14</v>
      </c>
      <c r="O52" t="s">
        <v>103</v>
      </c>
      <c r="S52" s="63">
        <v>46023</v>
      </c>
      <c r="T52" s="63">
        <v>46053.999305555553</v>
      </c>
      <c r="U52" t="s">
        <v>104</v>
      </c>
    </row>
    <row r="53" spans="1:21" x14ac:dyDescent="0.35">
      <c r="A53" t="s">
        <v>98</v>
      </c>
      <c r="B53" t="s">
        <v>99</v>
      </c>
      <c r="C53">
        <v>0</v>
      </c>
      <c r="D53" s="63">
        <v>43831</v>
      </c>
      <c r="F53">
        <v>340035</v>
      </c>
      <c r="G53" t="s">
        <v>100</v>
      </c>
      <c r="I53" t="s">
        <v>101</v>
      </c>
      <c r="J53">
        <v>426433</v>
      </c>
      <c r="K53" t="s">
        <v>102</v>
      </c>
      <c r="L53">
        <v>17.989999999999998</v>
      </c>
      <c r="O53" t="s">
        <v>103</v>
      </c>
      <c r="S53" s="63">
        <v>46023</v>
      </c>
      <c r="T53" s="63">
        <v>46053.999305555553</v>
      </c>
      <c r="U53" t="s">
        <v>104</v>
      </c>
    </row>
    <row r="54" spans="1:21" x14ac:dyDescent="0.35">
      <c r="A54" t="s">
        <v>98</v>
      </c>
      <c r="B54" t="s">
        <v>99</v>
      </c>
      <c r="C54">
        <v>0</v>
      </c>
      <c r="D54" s="63">
        <v>43831</v>
      </c>
      <c r="F54">
        <v>340057</v>
      </c>
      <c r="G54" t="s">
        <v>100</v>
      </c>
      <c r="I54" t="s">
        <v>101</v>
      </c>
      <c r="J54">
        <v>426433</v>
      </c>
      <c r="K54" t="s">
        <v>102</v>
      </c>
      <c r="L54">
        <v>0.21</v>
      </c>
      <c r="O54" t="s">
        <v>103</v>
      </c>
      <c r="S54" s="63">
        <v>46023</v>
      </c>
      <c r="T54" s="63">
        <v>46053.999305555553</v>
      </c>
      <c r="U54" t="s">
        <v>104</v>
      </c>
    </row>
    <row r="55" spans="1:21" x14ac:dyDescent="0.35">
      <c r="A55" t="s">
        <v>98</v>
      </c>
      <c r="B55" t="s">
        <v>99</v>
      </c>
      <c r="C55">
        <v>0</v>
      </c>
      <c r="D55" s="63">
        <v>43831</v>
      </c>
      <c r="F55">
        <v>340076</v>
      </c>
      <c r="G55" t="s">
        <v>100</v>
      </c>
      <c r="I55" t="s">
        <v>101</v>
      </c>
      <c r="J55">
        <v>426433</v>
      </c>
      <c r="K55" t="s">
        <v>102</v>
      </c>
      <c r="L55">
        <v>0.24</v>
      </c>
      <c r="O55" t="s">
        <v>103</v>
      </c>
      <c r="S55" s="63">
        <v>46023</v>
      </c>
      <c r="T55" s="63">
        <v>46053.999305555553</v>
      </c>
      <c r="U55" t="s">
        <v>104</v>
      </c>
    </row>
    <row r="56" spans="1:21" x14ac:dyDescent="0.35">
      <c r="A56" t="s">
        <v>98</v>
      </c>
      <c r="B56" t="s">
        <v>99</v>
      </c>
      <c r="C56">
        <v>0</v>
      </c>
      <c r="D56" s="63">
        <v>43831</v>
      </c>
      <c r="F56">
        <v>340950</v>
      </c>
      <c r="G56" t="s">
        <v>100</v>
      </c>
      <c r="I56" t="s">
        <v>101</v>
      </c>
      <c r="J56">
        <v>426433</v>
      </c>
      <c r="K56" t="s">
        <v>102</v>
      </c>
      <c r="L56">
        <v>0.28999999999999998</v>
      </c>
      <c r="O56" t="s">
        <v>103</v>
      </c>
      <c r="S56" s="63">
        <v>46023</v>
      </c>
      <c r="T56" s="63">
        <v>46053.999305555553</v>
      </c>
      <c r="U56" t="s">
        <v>104</v>
      </c>
    </row>
    <row r="57" spans="1:21" x14ac:dyDescent="0.35">
      <c r="A57" t="s">
        <v>98</v>
      </c>
      <c r="B57" t="s">
        <v>99</v>
      </c>
      <c r="C57">
        <v>0</v>
      </c>
      <c r="D57" s="63">
        <v>43831</v>
      </c>
      <c r="F57">
        <v>341024</v>
      </c>
      <c r="G57" t="s">
        <v>100</v>
      </c>
      <c r="I57" t="s">
        <v>101</v>
      </c>
      <c r="J57">
        <v>426433</v>
      </c>
      <c r="K57" t="s">
        <v>102</v>
      </c>
      <c r="L57">
        <v>5.63</v>
      </c>
      <c r="O57" t="s">
        <v>105</v>
      </c>
      <c r="S57" s="63">
        <v>46023</v>
      </c>
      <c r="T57" s="63">
        <v>46053.999305555553</v>
      </c>
      <c r="U57" t="s">
        <v>104</v>
      </c>
    </row>
    <row r="58" spans="1:21" x14ac:dyDescent="0.35">
      <c r="A58" t="s">
        <v>98</v>
      </c>
      <c r="B58" t="s">
        <v>99</v>
      </c>
      <c r="C58">
        <v>0</v>
      </c>
      <c r="D58" s="63">
        <v>43831</v>
      </c>
      <c r="F58">
        <v>342112</v>
      </c>
      <c r="G58" t="s">
        <v>100</v>
      </c>
      <c r="I58" t="s">
        <v>101</v>
      </c>
      <c r="J58">
        <v>426433</v>
      </c>
      <c r="K58" t="s">
        <v>102</v>
      </c>
      <c r="L58">
        <v>5.17</v>
      </c>
      <c r="O58" t="s">
        <v>105</v>
      </c>
      <c r="S58" s="63">
        <v>46023</v>
      </c>
      <c r="T58" s="63">
        <v>46053.999305555553</v>
      </c>
      <c r="U58" t="s">
        <v>104</v>
      </c>
    </row>
    <row r="59" spans="1:21" x14ac:dyDescent="0.35">
      <c r="A59" t="s">
        <v>98</v>
      </c>
      <c r="B59" t="s">
        <v>99</v>
      </c>
      <c r="C59">
        <v>0</v>
      </c>
      <c r="D59" s="63">
        <v>43831</v>
      </c>
      <c r="F59">
        <v>340021</v>
      </c>
      <c r="G59" t="s">
        <v>100</v>
      </c>
      <c r="I59" t="s">
        <v>101</v>
      </c>
      <c r="J59">
        <v>426433</v>
      </c>
      <c r="K59" t="s">
        <v>102</v>
      </c>
      <c r="L59">
        <v>0.32</v>
      </c>
      <c r="O59" t="s">
        <v>103</v>
      </c>
      <c r="S59" s="63">
        <v>46023</v>
      </c>
      <c r="T59" s="63">
        <v>46053.999305555553</v>
      </c>
      <c r="U59" t="s">
        <v>104</v>
      </c>
    </row>
    <row r="60" spans="1:21" x14ac:dyDescent="0.35">
      <c r="A60" t="s">
        <v>98</v>
      </c>
      <c r="B60" t="s">
        <v>99</v>
      </c>
      <c r="C60">
        <v>0</v>
      </c>
      <c r="D60" s="63">
        <v>43831</v>
      </c>
      <c r="F60">
        <v>340103</v>
      </c>
      <c r="G60" t="s">
        <v>100</v>
      </c>
      <c r="I60" t="s">
        <v>101</v>
      </c>
      <c r="J60">
        <v>426433</v>
      </c>
      <c r="K60" t="s">
        <v>102</v>
      </c>
      <c r="L60">
        <v>0.32</v>
      </c>
      <c r="O60" t="s">
        <v>103</v>
      </c>
      <c r="S60" s="63">
        <v>46023</v>
      </c>
      <c r="T60" s="63">
        <v>46053.999305555553</v>
      </c>
      <c r="U60" t="s">
        <v>104</v>
      </c>
    </row>
    <row r="61" spans="1:21" x14ac:dyDescent="0.35">
      <c r="A61" t="s">
        <v>98</v>
      </c>
      <c r="B61" t="s">
        <v>99</v>
      </c>
      <c r="C61">
        <v>0</v>
      </c>
      <c r="D61" s="63">
        <v>43831</v>
      </c>
      <c r="F61">
        <v>341210</v>
      </c>
      <c r="G61" t="s">
        <v>100</v>
      </c>
      <c r="I61" t="s">
        <v>101</v>
      </c>
      <c r="J61">
        <v>426433</v>
      </c>
      <c r="K61" t="s">
        <v>102</v>
      </c>
      <c r="L61">
        <v>0.3</v>
      </c>
      <c r="O61" t="s">
        <v>103</v>
      </c>
      <c r="S61" s="63">
        <v>46023</v>
      </c>
      <c r="T61" s="63">
        <v>46053.999305555553</v>
      </c>
      <c r="U61" t="s">
        <v>104</v>
      </c>
    </row>
    <row r="62" spans="1:21" x14ac:dyDescent="0.35">
      <c r="A62" t="s">
        <v>98</v>
      </c>
      <c r="B62" t="s">
        <v>99</v>
      </c>
      <c r="C62">
        <v>0</v>
      </c>
      <c r="D62" s="63">
        <v>43831</v>
      </c>
      <c r="F62">
        <v>341211</v>
      </c>
      <c r="G62" t="s">
        <v>100</v>
      </c>
      <c r="I62" t="s">
        <v>101</v>
      </c>
      <c r="J62">
        <v>426433</v>
      </c>
      <c r="K62" t="s">
        <v>102</v>
      </c>
      <c r="L62">
        <v>0.27</v>
      </c>
      <c r="O62" t="s">
        <v>103</v>
      </c>
      <c r="S62" s="63">
        <v>46023</v>
      </c>
      <c r="T62" s="63">
        <v>46053.999305555553</v>
      </c>
      <c r="U62" t="s">
        <v>104</v>
      </c>
    </row>
    <row r="63" spans="1:21" x14ac:dyDescent="0.35">
      <c r="A63" t="s">
        <v>98</v>
      </c>
      <c r="B63" t="s">
        <v>99</v>
      </c>
      <c r="C63">
        <v>0</v>
      </c>
      <c r="D63" s="63">
        <v>43831</v>
      </c>
      <c r="F63">
        <v>341213</v>
      </c>
      <c r="G63" t="s">
        <v>100</v>
      </c>
      <c r="I63" t="s">
        <v>101</v>
      </c>
      <c r="J63">
        <v>426433</v>
      </c>
      <c r="K63" t="s">
        <v>102</v>
      </c>
      <c r="L63">
        <v>0.28000000000000003</v>
      </c>
      <c r="O63" t="s">
        <v>103</v>
      </c>
      <c r="S63" s="63">
        <v>46023</v>
      </c>
      <c r="T63" s="63">
        <v>46053.999305555553</v>
      </c>
      <c r="U63" t="s">
        <v>104</v>
      </c>
    </row>
    <row r="64" spans="1:21" x14ac:dyDescent="0.35">
      <c r="A64" t="s">
        <v>98</v>
      </c>
      <c r="B64" t="s">
        <v>99</v>
      </c>
      <c r="C64">
        <v>0</v>
      </c>
      <c r="D64" s="63">
        <v>43831</v>
      </c>
      <c r="F64">
        <v>341214</v>
      </c>
      <c r="G64" t="s">
        <v>100</v>
      </c>
      <c r="I64" t="s">
        <v>101</v>
      </c>
      <c r="J64">
        <v>426433</v>
      </c>
      <c r="K64" t="s">
        <v>102</v>
      </c>
      <c r="L64">
        <v>0.26</v>
      </c>
      <c r="O64" t="s">
        <v>103</v>
      </c>
      <c r="S64" s="63">
        <v>46023</v>
      </c>
      <c r="T64" s="63">
        <v>46053.999305555553</v>
      </c>
      <c r="U64" t="s">
        <v>104</v>
      </c>
    </row>
    <row r="65" spans="1:21" x14ac:dyDescent="0.35">
      <c r="A65" t="s">
        <v>98</v>
      </c>
      <c r="B65" t="s">
        <v>99</v>
      </c>
      <c r="C65">
        <v>0</v>
      </c>
      <c r="D65" s="63">
        <v>43831</v>
      </c>
      <c r="F65">
        <v>340071</v>
      </c>
      <c r="G65" t="s">
        <v>100</v>
      </c>
      <c r="I65" t="s">
        <v>101</v>
      </c>
      <c r="J65">
        <v>426433</v>
      </c>
      <c r="K65" t="s">
        <v>102</v>
      </c>
      <c r="L65">
        <v>4.12</v>
      </c>
      <c r="O65" t="s">
        <v>103</v>
      </c>
      <c r="S65" s="63">
        <v>46023</v>
      </c>
      <c r="T65" s="63">
        <v>46053.999305555553</v>
      </c>
      <c r="U65" t="s">
        <v>104</v>
      </c>
    </row>
    <row r="66" spans="1:21" x14ac:dyDescent="0.35">
      <c r="A66" t="s">
        <v>98</v>
      </c>
      <c r="B66" t="s">
        <v>99</v>
      </c>
      <c r="C66">
        <v>0</v>
      </c>
      <c r="D66" s="63">
        <v>43831</v>
      </c>
      <c r="F66">
        <v>341212</v>
      </c>
      <c r="G66" t="s">
        <v>100</v>
      </c>
      <c r="I66" t="s">
        <v>101</v>
      </c>
      <c r="J66">
        <v>426433</v>
      </c>
      <c r="K66" t="s">
        <v>102</v>
      </c>
      <c r="L66">
        <v>0.27</v>
      </c>
      <c r="O66" t="s">
        <v>103</v>
      </c>
      <c r="S66" s="63">
        <v>46023</v>
      </c>
      <c r="T66" s="63">
        <v>46053.999305555553</v>
      </c>
      <c r="U66" t="s">
        <v>104</v>
      </c>
    </row>
    <row r="67" spans="1:21" x14ac:dyDescent="0.35">
      <c r="A67" t="s">
        <v>98</v>
      </c>
      <c r="B67" t="s">
        <v>99</v>
      </c>
      <c r="C67">
        <v>0</v>
      </c>
      <c r="D67" s="63">
        <v>43831</v>
      </c>
      <c r="F67">
        <v>341247</v>
      </c>
      <c r="G67" t="s">
        <v>100</v>
      </c>
      <c r="I67" t="s">
        <v>101</v>
      </c>
      <c r="J67">
        <v>426433</v>
      </c>
      <c r="K67" t="s">
        <v>102</v>
      </c>
      <c r="L67">
        <v>0.28000000000000003</v>
      </c>
      <c r="O67" t="s">
        <v>103</v>
      </c>
      <c r="S67" s="63">
        <v>46023</v>
      </c>
      <c r="T67" s="63">
        <v>46053.999305555553</v>
      </c>
      <c r="U67" t="s">
        <v>104</v>
      </c>
    </row>
    <row r="68" spans="1:21" x14ac:dyDescent="0.35">
      <c r="A68" t="s">
        <v>98</v>
      </c>
      <c r="B68" t="s">
        <v>99</v>
      </c>
      <c r="C68">
        <v>0</v>
      </c>
      <c r="D68" s="63">
        <v>43831</v>
      </c>
      <c r="F68">
        <v>341891</v>
      </c>
      <c r="G68" t="s">
        <v>100</v>
      </c>
      <c r="I68" t="s">
        <v>101</v>
      </c>
      <c r="J68">
        <v>426433</v>
      </c>
      <c r="K68" t="s">
        <v>102</v>
      </c>
      <c r="L68">
        <v>3.6</v>
      </c>
      <c r="O68" t="s">
        <v>103</v>
      </c>
      <c r="S68" s="63">
        <v>46023</v>
      </c>
      <c r="T68" s="63">
        <v>46053.999305555553</v>
      </c>
      <c r="U68" t="s">
        <v>104</v>
      </c>
    </row>
    <row r="69" spans="1:21" x14ac:dyDescent="0.35">
      <c r="A69" t="s">
        <v>98</v>
      </c>
      <c r="B69" t="s">
        <v>99</v>
      </c>
      <c r="C69">
        <v>0</v>
      </c>
      <c r="D69" s="63">
        <v>43831</v>
      </c>
      <c r="F69">
        <v>341892</v>
      </c>
      <c r="G69" t="s">
        <v>100</v>
      </c>
      <c r="I69" t="s">
        <v>101</v>
      </c>
      <c r="J69">
        <v>426433</v>
      </c>
      <c r="K69" t="s">
        <v>102</v>
      </c>
      <c r="L69">
        <v>3.43</v>
      </c>
      <c r="O69" t="s">
        <v>103</v>
      </c>
      <c r="S69" s="63">
        <v>46023</v>
      </c>
      <c r="T69" s="63">
        <v>46053.999305555553</v>
      </c>
      <c r="U69" t="s">
        <v>104</v>
      </c>
    </row>
    <row r="70" spans="1:21" x14ac:dyDescent="0.35">
      <c r="A70" t="s">
        <v>98</v>
      </c>
      <c r="B70" t="s">
        <v>99</v>
      </c>
      <c r="C70">
        <v>0</v>
      </c>
      <c r="D70" s="63">
        <v>43831</v>
      </c>
      <c r="F70">
        <v>341894</v>
      </c>
      <c r="G70" t="s">
        <v>100</v>
      </c>
      <c r="I70" t="s">
        <v>101</v>
      </c>
      <c r="J70">
        <v>426433</v>
      </c>
      <c r="K70" t="s">
        <v>102</v>
      </c>
      <c r="L70">
        <v>3.2</v>
      </c>
      <c r="O70" t="s">
        <v>103</v>
      </c>
      <c r="S70" s="63">
        <v>46023</v>
      </c>
      <c r="T70" s="63">
        <v>46053.999305555553</v>
      </c>
      <c r="U70" t="s">
        <v>104</v>
      </c>
    </row>
    <row r="71" spans="1:21" x14ac:dyDescent="0.35">
      <c r="A71" t="s">
        <v>98</v>
      </c>
      <c r="B71" t="s">
        <v>99</v>
      </c>
      <c r="C71">
        <v>0</v>
      </c>
      <c r="D71" s="63">
        <v>43831</v>
      </c>
      <c r="F71">
        <v>342068</v>
      </c>
      <c r="G71" t="s">
        <v>100</v>
      </c>
      <c r="I71" t="s">
        <v>101</v>
      </c>
      <c r="J71">
        <v>426433</v>
      </c>
      <c r="K71" t="s">
        <v>102</v>
      </c>
      <c r="L71">
        <v>1.95</v>
      </c>
      <c r="O71" t="s">
        <v>103</v>
      </c>
      <c r="S71" s="63">
        <v>46023</v>
      </c>
      <c r="T71" s="63">
        <v>46053.999305555553</v>
      </c>
      <c r="U71" t="s">
        <v>104</v>
      </c>
    </row>
    <row r="72" spans="1:21" x14ac:dyDescent="0.35">
      <c r="A72" t="s">
        <v>98</v>
      </c>
      <c r="B72" t="s">
        <v>99</v>
      </c>
      <c r="C72">
        <v>0</v>
      </c>
      <c r="D72" s="63">
        <v>43831</v>
      </c>
      <c r="F72">
        <v>342071</v>
      </c>
      <c r="G72" t="s">
        <v>100</v>
      </c>
      <c r="I72" t="s">
        <v>101</v>
      </c>
      <c r="J72">
        <v>426433</v>
      </c>
      <c r="K72" t="s">
        <v>102</v>
      </c>
      <c r="L72">
        <v>1.94</v>
      </c>
      <c r="O72" t="s">
        <v>103</v>
      </c>
      <c r="S72" s="63">
        <v>46023</v>
      </c>
      <c r="T72" s="63">
        <v>46053.999305555553</v>
      </c>
      <c r="U72" t="s">
        <v>104</v>
      </c>
    </row>
    <row r="73" spans="1:21" x14ac:dyDescent="0.35">
      <c r="A73" t="s">
        <v>98</v>
      </c>
      <c r="B73" t="s">
        <v>99</v>
      </c>
      <c r="C73">
        <v>0</v>
      </c>
      <c r="D73" s="63">
        <v>43831</v>
      </c>
      <c r="F73">
        <v>342072</v>
      </c>
      <c r="G73" t="s">
        <v>100</v>
      </c>
      <c r="I73" t="s">
        <v>101</v>
      </c>
      <c r="J73">
        <v>426433</v>
      </c>
      <c r="K73" t="s">
        <v>102</v>
      </c>
      <c r="L73">
        <v>2.15</v>
      </c>
      <c r="O73" t="s">
        <v>103</v>
      </c>
      <c r="S73" s="63">
        <v>46023</v>
      </c>
      <c r="T73" s="63">
        <v>46053.999305555553</v>
      </c>
      <c r="U73" t="s">
        <v>104</v>
      </c>
    </row>
    <row r="74" spans="1:21" x14ac:dyDescent="0.35">
      <c r="A74" t="s">
        <v>98</v>
      </c>
      <c r="B74" t="s">
        <v>99</v>
      </c>
      <c r="C74">
        <v>0</v>
      </c>
      <c r="D74" s="63">
        <v>43831</v>
      </c>
      <c r="F74">
        <v>341893</v>
      </c>
      <c r="G74" t="s">
        <v>100</v>
      </c>
      <c r="I74" t="s">
        <v>101</v>
      </c>
      <c r="J74">
        <v>426433</v>
      </c>
      <c r="K74" t="s">
        <v>102</v>
      </c>
      <c r="L74">
        <v>3.42</v>
      </c>
      <c r="O74" t="s">
        <v>103</v>
      </c>
      <c r="S74" s="63">
        <v>46023</v>
      </c>
      <c r="T74" s="63">
        <v>46053.999305555553</v>
      </c>
      <c r="U74" t="s">
        <v>104</v>
      </c>
    </row>
    <row r="75" spans="1:21" x14ac:dyDescent="0.35">
      <c r="A75" t="s">
        <v>98</v>
      </c>
      <c r="B75" t="s">
        <v>38</v>
      </c>
      <c r="C75">
        <v>0</v>
      </c>
      <c r="D75" s="63">
        <v>43831</v>
      </c>
      <c r="F75">
        <v>350122</v>
      </c>
      <c r="G75" t="s">
        <v>100</v>
      </c>
      <c r="I75" t="s">
        <v>101</v>
      </c>
      <c r="J75">
        <v>426433</v>
      </c>
      <c r="K75" t="s">
        <v>102</v>
      </c>
      <c r="L75">
        <v>14.36</v>
      </c>
      <c r="O75" t="s">
        <v>103</v>
      </c>
      <c r="S75" s="63">
        <v>46023</v>
      </c>
      <c r="T75" s="63">
        <v>46053.999305555553</v>
      </c>
      <c r="U75" t="s">
        <v>104</v>
      </c>
    </row>
    <row r="76" spans="1:21" x14ac:dyDescent="0.35">
      <c r="A76" t="s">
        <v>98</v>
      </c>
      <c r="B76" t="s">
        <v>38</v>
      </c>
      <c r="C76">
        <v>0</v>
      </c>
      <c r="D76" s="63">
        <v>43831</v>
      </c>
      <c r="F76">
        <v>350123</v>
      </c>
      <c r="G76" t="s">
        <v>100</v>
      </c>
      <c r="I76" t="s">
        <v>101</v>
      </c>
      <c r="J76">
        <v>426433</v>
      </c>
      <c r="K76" t="s">
        <v>102</v>
      </c>
      <c r="L76">
        <v>13.84</v>
      </c>
      <c r="O76" t="s">
        <v>103</v>
      </c>
      <c r="S76" s="63">
        <v>46023</v>
      </c>
      <c r="T76" s="63">
        <v>46053.999305555553</v>
      </c>
      <c r="U76" t="s">
        <v>104</v>
      </c>
    </row>
    <row r="77" spans="1:21" x14ac:dyDescent="0.35">
      <c r="A77" t="s">
        <v>98</v>
      </c>
      <c r="B77" t="s">
        <v>38</v>
      </c>
      <c r="C77">
        <v>0</v>
      </c>
      <c r="D77" s="63">
        <v>43831</v>
      </c>
      <c r="F77">
        <v>351066</v>
      </c>
      <c r="G77" t="s">
        <v>100</v>
      </c>
      <c r="I77" t="s">
        <v>101</v>
      </c>
      <c r="J77">
        <v>426433</v>
      </c>
      <c r="K77" t="s">
        <v>102</v>
      </c>
      <c r="L77">
        <v>14.16</v>
      </c>
      <c r="O77" t="s">
        <v>103</v>
      </c>
      <c r="S77" s="63">
        <v>46023</v>
      </c>
      <c r="T77" s="63">
        <v>46053.999305555553</v>
      </c>
      <c r="U77" t="s">
        <v>104</v>
      </c>
    </row>
    <row r="78" spans="1:21" x14ac:dyDescent="0.35">
      <c r="A78" t="s">
        <v>98</v>
      </c>
      <c r="B78" t="s">
        <v>38</v>
      </c>
      <c r="C78">
        <v>0</v>
      </c>
      <c r="D78" s="63">
        <v>43831</v>
      </c>
      <c r="F78">
        <v>351067</v>
      </c>
      <c r="G78" t="s">
        <v>100</v>
      </c>
      <c r="I78" t="s">
        <v>101</v>
      </c>
      <c r="J78">
        <v>426433</v>
      </c>
      <c r="K78" t="s">
        <v>102</v>
      </c>
      <c r="L78">
        <v>13.56</v>
      </c>
      <c r="O78" t="s">
        <v>103</v>
      </c>
      <c r="S78" s="63">
        <v>46023</v>
      </c>
      <c r="T78" s="63">
        <v>46053.999305555553</v>
      </c>
      <c r="U78" t="s">
        <v>104</v>
      </c>
    </row>
    <row r="79" spans="1:21" x14ac:dyDescent="0.35">
      <c r="A79" t="s">
        <v>98</v>
      </c>
      <c r="B79" t="s">
        <v>38</v>
      </c>
      <c r="C79">
        <v>0</v>
      </c>
      <c r="D79" s="63">
        <v>43831</v>
      </c>
      <c r="F79">
        <v>351068</v>
      </c>
      <c r="G79" t="s">
        <v>100</v>
      </c>
      <c r="I79" t="s">
        <v>101</v>
      </c>
      <c r="J79">
        <v>426433</v>
      </c>
      <c r="K79" t="s">
        <v>102</v>
      </c>
      <c r="L79">
        <v>13.32</v>
      </c>
      <c r="O79" t="s">
        <v>103</v>
      </c>
      <c r="S79" s="63">
        <v>46023</v>
      </c>
      <c r="T79" s="63">
        <v>46053.999305555553</v>
      </c>
      <c r="U79" t="s">
        <v>104</v>
      </c>
    </row>
    <row r="80" spans="1:21" x14ac:dyDescent="0.35">
      <c r="A80" t="s">
        <v>98</v>
      </c>
      <c r="B80" t="s">
        <v>38</v>
      </c>
      <c r="C80">
        <v>0</v>
      </c>
      <c r="D80" s="63">
        <v>43831</v>
      </c>
      <c r="F80">
        <v>351069</v>
      </c>
      <c r="G80" t="s">
        <v>100</v>
      </c>
      <c r="I80" t="s">
        <v>101</v>
      </c>
      <c r="J80">
        <v>426433</v>
      </c>
      <c r="K80" t="s">
        <v>102</v>
      </c>
      <c r="L80">
        <v>12.76</v>
      </c>
      <c r="O80" t="s">
        <v>103</v>
      </c>
      <c r="S80" s="63">
        <v>46023</v>
      </c>
      <c r="T80" s="63">
        <v>46053.999305555553</v>
      </c>
      <c r="U80" t="s">
        <v>104</v>
      </c>
    </row>
    <row r="81" spans="1:21" x14ac:dyDescent="0.35">
      <c r="A81" t="s">
        <v>98</v>
      </c>
      <c r="B81" t="s">
        <v>38</v>
      </c>
      <c r="C81">
        <v>0</v>
      </c>
      <c r="D81" s="63">
        <v>43831</v>
      </c>
      <c r="F81">
        <v>350124</v>
      </c>
      <c r="G81" t="s">
        <v>100</v>
      </c>
      <c r="I81" t="s">
        <v>101</v>
      </c>
      <c r="J81">
        <v>426433</v>
      </c>
      <c r="K81" t="s">
        <v>102</v>
      </c>
      <c r="L81">
        <v>12.44</v>
      </c>
      <c r="O81" t="s">
        <v>103</v>
      </c>
      <c r="S81" s="63">
        <v>46023</v>
      </c>
      <c r="T81" s="63">
        <v>46053.999305555553</v>
      </c>
      <c r="U81" t="s">
        <v>104</v>
      </c>
    </row>
    <row r="82" spans="1:21" x14ac:dyDescent="0.35">
      <c r="A82" t="s">
        <v>98</v>
      </c>
      <c r="B82" t="s">
        <v>38</v>
      </c>
      <c r="C82">
        <v>0</v>
      </c>
      <c r="D82" s="63">
        <v>43831</v>
      </c>
      <c r="F82">
        <v>340013</v>
      </c>
      <c r="G82" t="s">
        <v>100</v>
      </c>
      <c r="I82" t="s">
        <v>101</v>
      </c>
      <c r="J82">
        <v>426433</v>
      </c>
      <c r="K82" t="s">
        <v>102</v>
      </c>
      <c r="L82">
        <v>14.4</v>
      </c>
      <c r="O82" t="s">
        <v>103</v>
      </c>
      <c r="S82" s="63">
        <v>46023</v>
      </c>
      <c r="T82" s="63">
        <v>46053.999305555553</v>
      </c>
      <c r="U82" t="s">
        <v>104</v>
      </c>
    </row>
    <row r="83" spans="1:21" x14ac:dyDescent="0.35">
      <c r="A83" t="s">
        <v>98</v>
      </c>
      <c r="B83" t="s">
        <v>38</v>
      </c>
      <c r="C83">
        <v>0</v>
      </c>
      <c r="D83" s="63">
        <v>43831</v>
      </c>
      <c r="F83">
        <v>340036</v>
      </c>
      <c r="G83" t="s">
        <v>100</v>
      </c>
      <c r="I83" t="s">
        <v>101</v>
      </c>
      <c r="J83">
        <v>426433</v>
      </c>
      <c r="K83" t="s">
        <v>102</v>
      </c>
      <c r="L83">
        <v>13.92</v>
      </c>
      <c r="O83" t="s">
        <v>103</v>
      </c>
      <c r="S83" s="63">
        <v>46023</v>
      </c>
      <c r="T83" s="63">
        <v>46053.999305555553</v>
      </c>
      <c r="U83" t="s">
        <v>104</v>
      </c>
    </row>
    <row r="84" spans="1:21" x14ac:dyDescent="0.35">
      <c r="A84" t="s">
        <v>98</v>
      </c>
      <c r="B84" t="s">
        <v>38</v>
      </c>
      <c r="C84">
        <v>0</v>
      </c>
      <c r="D84" s="63">
        <v>43831</v>
      </c>
      <c r="F84">
        <v>342022</v>
      </c>
      <c r="G84" t="s">
        <v>100</v>
      </c>
      <c r="I84" t="s">
        <v>101</v>
      </c>
      <c r="J84">
        <v>426433</v>
      </c>
      <c r="K84" t="s">
        <v>102</v>
      </c>
      <c r="L84">
        <v>3.89</v>
      </c>
      <c r="O84" t="s">
        <v>105</v>
      </c>
      <c r="S84" s="63">
        <v>46023</v>
      </c>
      <c r="T84" s="63">
        <v>46053.999305555553</v>
      </c>
      <c r="U84" t="s">
        <v>104</v>
      </c>
    </row>
    <row r="85" spans="1:21" x14ac:dyDescent="0.35">
      <c r="A85" t="s">
        <v>98</v>
      </c>
      <c r="B85" t="s">
        <v>38</v>
      </c>
      <c r="C85">
        <v>0</v>
      </c>
      <c r="D85" s="63">
        <v>43831</v>
      </c>
      <c r="F85">
        <v>340100</v>
      </c>
      <c r="G85" t="s">
        <v>100</v>
      </c>
      <c r="I85" t="s">
        <v>101</v>
      </c>
      <c r="J85">
        <v>426433</v>
      </c>
      <c r="K85" t="s">
        <v>102</v>
      </c>
      <c r="L85">
        <v>17.920000000000002</v>
      </c>
      <c r="O85" t="s">
        <v>103</v>
      </c>
      <c r="S85" s="63">
        <v>46023</v>
      </c>
      <c r="T85" s="63">
        <v>46053.999305555553</v>
      </c>
      <c r="U85" t="s">
        <v>104</v>
      </c>
    </row>
    <row r="86" spans="1:21" x14ac:dyDescent="0.35">
      <c r="A86" t="s">
        <v>98</v>
      </c>
      <c r="B86" t="s">
        <v>38</v>
      </c>
      <c r="C86">
        <v>0</v>
      </c>
      <c r="D86" s="63">
        <v>43831</v>
      </c>
      <c r="F86">
        <v>340776</v>
      </c>
      <c r="G86" t="s">
        <v>100</v>
      </c>
      <c r="I86" t="s">
        <v>101</v>
      </c>
      <c r="J86">
        <v>426433</v>
      </c>
      <c r="K86" t="s">
        <v>102</v>
      </c>
      <c r="L86">
        <v>13.38</v>
      </c>
      <c r="O86" t="s">
        <v>103</v>
      </c>
      <c r="S86" s="63">
        <v>46023</v>
      </c>
      <c r="T86" s="63">
        <v>46053.999305555553</v>
      </c>
      <c r="U86" t="s">
        <v>104</v>
      </c>
    </row>
    <row r="87" spans="1:21" x14ac:dyDescent="0.35">
      <c r="A87" t="s">
        <v>98</v>
      </c>
      <c r="B87" t="s">
        <v>38</v>
      </c>
      <c r="C87">
        <v>0</v>
      </c>
      <c r="D87" s="63">
        <v>43831</v>
      </c>
      <c r="F87">
        <v>340789</v>
      </c>
      <c r="G87" t="s">
        <v>100</v>
      </c>
      <c r="I87" t="s">
        <v>101</v>
      </c>
      <c r="J87">
        <v>426433</v>
      </c>
      <c r="K87" t="s">
        <v>102</v>
      </c>
      <c r="L87">
        <v>25.02</v>
      </c>
      <c r="O87" t="s">
        <v>103</v>
      </c>
      <c r="S87" s="63">
        <v>46023</v>
      </c>
      <c r="T87" s="63">
        <v>46053.999305555553</v>
      </c>
      <c r="U87" t="s">
        <v>104</v>
      </c>
    </row>
    <row r="88" spans="1:21" x14ac:dyDescent="0.35">
      <c r="A88" t="s">
        <v>98</v>
      </c>
      <c r="B88" t="s">
        <v>38</v>
      </c>
      <c r="C88">
        <v>0</v>
      </c>
      <c r="D88" s="63">
        <v>43831</v>
      </c>
      <c r="F88">
        <v>341656</v>
      </c>
      <c r="G88" t="s">
        <v>100</v>
      </c>
      <c r="I88" t="s">
        <v>101</v>
      </c>
      <c r="J88">
        <v>426433</v>
      </c>
      <c r="K88" t="s">
        <v>102</v>
      </c>
      <c r="L88">
        <v>20.97</v>
      </c>
      <c r="O88" t="s">
        <v>103</v>
      </c>
      <c r="S88" s="63">
        <v>46023</v>
      </c>
      <c r="T88" s="63">
        <v>46053.999305555553</v>
      </c>
      <c r="U88" t="s">
        <v>104</v>
      </c>
    </row>
    <row r="89" spans="1:21" x14ac:dyDescent="0.35">
      <c r="A89" t="s">
        <v>98</v>
      </c>
      <c r="B89" t="s">
        <v>38</v>
      </c>
      <c r="C89">
        <v>0</v>
      </c>
      <c r="D89" s="63">
        <v>43831</v>
      </c>
      <c r="F89">
        <v>341657</v>
      </c>
      <c r="G89" t="s">
        <v>100</v>
      </c>
      <c r="I89" t="s">
        <v>101</v>
      </c>
      <c r="J89">
        <v>426433</v>
      </c>
      <c r="K89" t="s">
        <v>102</v>
      </c>
      <c r="L89">
        <v>20.16</v>
      </c>
      <c r="O89" t="s">
        <v>103</v>
      </c>
      <c r="S89" s="63">
        <v>46023</v>
      </c>
      <c r="T89" s="63">
        <v>46053.999305555553</v>
      </c>
      <c r="U89" t="s">
        <v>104</v>
      </c>
    </row>
    <row r="90" spans="1:21" x14ac:dyDescent="0.35">
      <c r="A90" t="s">
        <v>98</v>
      </c>
      <c r="B90" t="s">
        <v>38</v>
      </c>
      <c r="C90">
        <v>0</v>
      </c>
      <c r="D90" s="63">
        <v>43831</v>
      </c>
      <c r="F90">
        <v>341658</v>
      </c>
      <c r="G90" t="s">
        <v>100</v>
      </c>
      <c r="I90" t="s">
        <v>101</v>
      </c>
      <c r="J90">
        <v>426433</v>
      </c>
      <c r="K90" t="s">
        <v>102</v>
      </c>
      <c r="L90">
        <v>19.440000000000001</v>
      </c>
      <c r="O90" t="s">
        <v>103</v>
      </c>
      <c r="S90" s="63">
        <v>46023</v>
      </c>
      <c r="T90" s="63">
        <v>46053.999305555553</v>
      </c>
      <c r="U90" t="s">
        <v>104</v>
      </c>
    </row>
    <row r="91" spans="1:21" x14ac:dyDescent="0.35">
      <c r="A91" t="s">
        <v>98</v>
      </c>
      <c r="B91" t="s">
        <v>38</v>
      </c>
      <c r="C91">
        <v>0</v>
      </c>
      <c r="D91" s="63">
        <v>43831</v>
      </c>
      <c r="F91">
        <v>341659</v>
      </c>
      <c r="G91" t="s">
        <v>100</v>
      </c>
      <c r="I91" t="s">
        <v>101</v>
      </c>
      <c r="J91">
        <v>426433</v>
      </c>
      <c r="K91" t="s">
        <v>102</v>
      </c>
      <c r="L91">
        <v>18.989999999999998</v>
      </c>
      <c r="O91" t="s">
        <v>103</v>
      </c>
      <c r="S91" s="63">
        <v>46023</v>
      </c>
      <c r="T91" s="63">
        <v>46053.999305555553</v>
      </c>
      <c r="U91" t="s">
        <v>104</v>
      </c>
    </row>
    <row r="92" spans="1:21" x14ac:dyDescent="0.35">
      <c r="A92" t="s">
        <v>98</v>
      </c>
      <c r="B92" t="s">
        <v>38</v>
      </c>
      <c r="C92">
        <v>0</v>
      </c>
      <c r="D92" s="63">
        <v>43831</v>
      </c>
      <c r="F92">
        <v>341686</v>
      </c>
      <c r="G92" t="s">
        <v>100</v>
      </c>
      <c r="I92" t="s">
        <v>101</v>
      </c>
      <c r="J92">
        <v>426433</v>
      </c>
      <c r="K92" t="s">
        <v>102</v>
      </c>
      <c r="L92">
        <v>17.96</v>
      </c>
      <c r="O92" t="s">
        <v>103</v>
      </c>
      <c r="S92" s="63">
        <v>46023</v>
      </c>
      <c r="T92" s="63">
        <v>46053.999305555553</v>
      </c>
      <c r="U92" t="s">
        <v>104</v>
      </c>
    </row>
    <row r="93" spans="1:21" x14ac:dyDescent="0.35">
      <c r="A93" t="s">
        <v>98</v>
      </c>
      <c r="B93" t="s">
        <v>38</v>
      </c>
      <c r="C93">
        <v>0</v>
      </c>
      <c r="D93" s="63">
        <v>43831</v>
      </c>
      <c r="F93">
        <v>341687</v>
      </c>
      <c r="G93" t="s">
        <v>100</v>
      </c>
      <c r="I93" t="s">
        <v>101</v>
      </c>
      <c r="J93">
        <v>426433</v>
      </c>
      <c r="K93" t="s">
        <v>102</v>
      </c>
      <c r="L93">
        <v>25.38</v>
      </c>
      <c r="O93" t="s">
        <v>103</v>
      </c>
      <c r="S93" s="63">
        <v>46023</v>
      </c>
      <c r="T93" s="63">
        <v>46053.999305555553</v>
      </c>
      <c r="U93" t="s">
        <v>104</v>
      </c>
    </row>
    <row r="94" spans="1:21" x14ac:dyDescent="0.35">
      <c r="A94" t="s">
        <v>98</v>
      </c>
      <c r="B94" t="s">
        <v>38</v>
      </c>
      <c r="C94">
        <v>0</v>
      </c>
      <c r="D94" s="63">
        <v>43831</v>
      </c>
      <c r="F94">
        <v>342123</v>
      </c>
      <c r="G94" t="s">
        <v>100</v>
      </c>
      <c r="I94" t="s">
        <v>101</v>
      </c>
      <c r="J94">
        <v>426433</v>
      </c>
      <c r="K94" t="s">
        <v>102</v>
      </c>
      <c r="L94">
        <v>14.7</v>
      </c>
      <c r="O94" t="s">
        <v>103</v>
      </c>
      <c r="S94" s="63">
        <v>46023</v>
      </c>
      <c r="T94" s="63">
        <v>46053.999305555553</v>
      </c>
      <c r="U94" t="s">
        <v>104</v>
      </c>
    </row>
    <row r="95" spans="1:21" x14ac:dyDescent="0.35">
      <c r="A95" t="s">
        <v>98</v>
      </c>
      <c r="B95" t="s">
        <v>38</v>
      </c>
      <c r="C95">
        <v>0</v>
      </c>
      <c r="D95" s="63">
        <v>43831</v>
      </c>
      <c r="F95">
        <v>341625</v>
      </c>
      <c r="G95" t="s">
        <v>100</v>
      </c>
      <c r="I95" t="s">
        <v>101</v>
      </c>
      <c r="J95">
        <v>426433</v>
      </c>
      <c r="K95" t="s">
        <v>102</v>
      </c>
      <c r="L95">
        <v>7.62</v>
      </c>
      <c r="O95" t="s">
        <v>103</v>
      </c>
      <c r="S95" s="63">
        <v>46023</v>
      </c>
      <c r="T95" s="63">
        <v>46053.999305555553</v>
      </c>
      <c r="U95" t="s">
        <v>104</v>
      </c>
    </row>
    <row r="96" spans="1:21" x14ac:dyDescent="0.35">
      <c r="A96" t="s">
        <v>98</v>
      </c>
      <c r="B96" t="s">
        <v>38</v>
      </c>
      <c r="C96">
        <v>0</v>
      </c>
      <c r="D96" s="63">
        <v>43831</v>
      </c>
      <c r="F96">
        <v>341155</v>
      </c>
      <c r="G96" t="s">
        <v>100</v>
      </c>
      <c r="I96" t="s">
        <v>101</v>
      </c>
      <c r="J96">
        <v>426433</v>
      </c>
      <c r="K96" t="s">
        <v>102</v>
      </c>
      <c r="L96">
        <v>32.340000000000003</v>
      </c>
      <c r="O96" t="s">
        <v>103</v>
      </c>
      <c r="S96" s="63">
        <v>46023</v>
      </c>
      <c r="T96" s="63">
        <v>46053.999305555553</v>
      </c>
      <c r="U96" t="s">
        <v>104</v>
      </c>
    </row>
    <row r="97" spans="1:21" x14ac:dyDescent="0.35">
      <c r="A97" t="s">
        <v>98</v>
      </c>
      <c r="B97" t="s">
        <v>38</v>
      </c>
      <c r="C97">
        <v>0</v>
      </c>
      <c r="D97" s="63">
        <v>43831</v>
      </c>
      <c r="F97">
        <v>341156</v>
      </c>
      <c r="G97" t="s">
        <v>100</v>
      </c>
      <c r="I97" t="s">
        <v>101</v>
      </c>
      <c r="J97">
        <v>426433</v>
      </c>
      <c r="K97" t="s">
        <v>102</v>
      </c>
      <c r="L97">
        <v>30.6</v>
      </c>
      <c r="O97" t="s">
        <v>103</v>
      </c>
      <c r="S97" s="63">
        <v>46023</v>
      </c>
      <c r="T97" s="63">
        <v>46053.999305555553</v>
      </c>
      <c r="U97" t="s">
        <v>104</v>
      </c>
    </row>
    <row r="98" spans="1:21" x14ac:dyDescent="0.35">
      <c r="A98" t="s">
        <v>98</v>
      </c>
      <c r="B98" t="s">
        <v>38</v>
      </c>
      <c r="C98">
        <v>0</v>
      </c>
      <c r="D98" s="63">
        <v>43831</v>
      </c>
      <c r="F98">
        <v>341157</v>
      </c>
      <c r="G98" t="s">
        <v>100</v>
      </c>
      <c r="I98" t="s">
        <v>101</v>
      </c>
      <c r="J98">
        <v>426433</v>
      </c>
      <c r="K98" t="s">
        <v>102</v>
      </c>
      <c r="L98">
        <v>29.58</v>
      </c>
      <c r="O98" t="s">
        <v>103</v>
      </c>
      <c r="S98" s="63">
        <v>46023</v>
      </c>
      <c r="T98" s="63">
        <v>46053.999305555553</v>
      </c>
      <c r="U98" t="s">
        <v>104</v>
      </c>
    </row>
    <row r="99" spans="1:21" x14ac:dyDescent="0.35">
      <c r="A99" t="s">
        <v>98</v>
      </c>
      <c r="B99" t="s">
        <v>38</v>
      </c>
      <c r="C99">
        <v>0</v>
      </c>
      <c r="D99" s="63">
        <v>43831</v>
      </c>
      <c r="F99">
        <v>341159</v>
      </c>
      <c r="G99" t="s">
        <v>100</v>
      </c>
      <c r="I99" t="s">
        <v>101</v>
      </c>
      <c r="J99">
        <v>426433</v>
      </c>
      <c r="K99" t="s">
        <v>102</v>
      </c>
      <c r="L99">
        <v>25.5</v>
      </c>
      <c r="O99" t="s">
        <v>103</v>
      </c>
      <c r="S99" s="63">
        <v>46023</v>
      </c>
      <c r="T99" s="63">
        <v>46053.999305555553</v>
      </c>
      <c r="U99" t="s">
        <v>104</v>
      </c>
    </row>
    <row r="100" spans="1:21" x14ac:dyDescent="0.35">
      <c r="A100" t="s">
        <v>98</v>
      </c>
      <c r="B100" t="s">
        <v>38</v>
      </c>
      <c r="C100">
        <v>0</v>
      </c>
      <c r="D100" s="63">
        <v>43831</v>
      </c>
      <c r="F100">
        <v>342038</v>
      </c>
      <c r="G100" t="s">
        <v>100</v>
      </c>
      <c r="I100" t="s">
        <v>101</v>
      </c>
      <c r="J100">
        <v>426433</v>
      </c>
      <c r="K100" t="s">
        <v>102</v>
      </c>
      <c r="L100">
        <v>20.329999999999998</v>
      </c>
      <c r="O100" t="s">
        <v>103</v>
      </c>
      <c r="S100" s="63">
        <v>46023</v>
      </c>
      <c r="T100" s="63">
        <v>46053.999305555553</v>
      </c>
      <c r="U100" t="s">
        <v>104</v>
      </c>
    </row>
    <row r="101" spans="1:21" x14ac:dyDescent="0.35">
      <c r="A101" t="s">
        <v>98</v>
      </c>
      <c r="B101" t="s">
        <v>38</v>
      </c>
      <c r="C101">
        <v>0</v>
      </c>
      <c r="D101" s="63">
        <v>43831</v>
      </c>
      <c r="F101">
        <v>340044</v>
      </c>
      <c r="G101" t="s">
        <v>100</v>
      </c>
      <c r="I101" t="s">
        <v>101</v>
      </c>
      <c r="J101">
        <v>426433</v>
      </c>
      <c r="K101" t="s">
        <v>102</v>
      </c>
      <c r="L101">
        <v>13</v>
      </c>
      <c r="O101" t="s">
        <v>103</v>
      </c>
      <c r="S101" s="63">
        <v>46023</v>
      </c>
      <c r="T101" s="63">
        <v>46053.999305555553</v>
      </c>
      <c r="U101" t="s">
        <v>104</v>
      </c>
    </row>
    <row r="102" spans="1:21" x14ac:dyDescent="0.35">
      <c r="A102" t="s">
        <v>98</v>
      </c>
      <c r="B102" t="s">
        <v>38</v>
      </c>
      <c r="C102">
        <v>0</v>
      </c>
      <c r="D102" s="63">
        <v>43831</v>
      </c>
      <c r="F102">
        <v>340914</v>
      </c>
      <c r="G102" t="s">
        <v>100</v>
      </c>
      <c r="I102" t="s">
        <v>101</v>
      </c>
      <c r="J102">
        <v>426433</v>
      </c>
      <c r="K102" t="s">
        <v>102</v>
      </c>
      <c r="L102">
        <v>2.98</v>
      </c>
      <c r="O102" t="s">
        <v>103</v>
      </c>
      <c r="S102" s="63">
        <v>46023</v>
      </c>
      <c r="T102" s="63">
        <v>46053.999305555553</v>
      </c>
      <c r="U102" t="s">
        <v>104</v>
      </c>
    </row>
    <row r="103" spans="1:21" x14ac:dyDescent="0.35">
      <c r="A103" t="s">
        <v>98</v>
      </c>
      <c r="B103" t="s">
        <v>38</v>
      </c>
      <c r="C103">
        <v>0</v>
      </c>
      <c r="D103" s="63">
        <v>43831</v>
      </c>
      <c r="F103">
        <v>342069</v>
      </c>
      <c r="G103" t="s">
        <v>100</v>
      </c>
      <c r="I103" t="s">
        <v>101</v>
      </c>
      <c r="J103">
        <v>426433</v>
      </c>
      <c r="K103" t="s">
        <v>102</v>
      </c>
      <c r="L103">
        <v>20.88</v>
      </c>
      <c r="O103" t="s">
        <v>103</v>
      </c>
      <c r="S103" s="63">
        <v>46023</v>
      </c>
      <c r="T103" s="63">
        <v>46053.999305555553</v>
      </c>
      <c r="U103" t="s">
        <v>104</v>
      </c>
    </row>
    <row r="104" spans="1:21" x14ac:dyDescent="0.35">
      <c r="A104" t="s">
        <v>98</v>
      </c>
      <c r="B104" t="s">
        <v>38</v>
      </c>
      <c r="C104">
        <v>0</v>
      </c>
      <c r="D104" s="63">
        <v>43831</v>
      </c>
      <c r="F104">
        <v>341992</v>
      </c>
      <c r="G104" t="s">
        <v>100</v>
      </c>
      <c r="I104" t="s">
        <v>101</v>
      </c>
      <c r="J104">
        <v>426433</v>
      </c>
      <c r="K104" t="s">
        <v>102</v>
      </c>
      <c r="L104">
        <v>6.82</v>
      </c>
      <c r="O104" t="s">
        <v>103</v>
      </c>
      <c r="S104" s="63">
        <v>46023</v>
      </c>
      <c r="T104" s="63">
        <v>46053.999305555553</v>
      </c>
      <c r="U104" t="s">
        <v>104</v>
      </c>
    </row>
    <row r="105" spans="1:21" x14ac:dyDescent="0.35">
      <c r="A105" t="s">
        <v>98</v>
      </c>
      <c r="B105" t="s">
        <v>38</v>
      </c>
      <c r="C105">
        <v>0</v>
      </c>
      <c r="D105" s="63">
        <v>43831</v>
      </c>
      <c r="F105">
        <v>341411</v>
      </c>
      <c r="G105" t="s">
        <v>100</v>
      </c>
      <c r="I105" t="s">
        <v>101</v>
      </c>
      <c r="J105">
        <v>426433</v>
      </c>
      <c r="K105" t="s">
        <v>102</v>
      </c>
      <c r="L105">
        <v>8.16</v>
      </c>
      <c r="O105" t="s">
        <v>103</v>
      </c>
      <c r="S105" s="63">
        <v>46023</v>
      </c>
      <c r="T105" s="63">
        <v>46053.999305555553</v>
      </c>
      <c r="U105" t="s">
        <v>104</v>
      </c>
    </row>
    <row r="106" spans="1:21" x14ac:dyDescent="0.35">
      <c r="A106" t="s">
        <v>98</v>
      </c>
      <c r="B106" t="s">
        <v>38</v>
      </c>
      <c r="C106">
        <v>0</v>
      </c>
      <c r="D106" s="63">
        <v>43831</v>
      </c>
      <c r="F106">
        <v>341412</v>
      </c>
      <c r="G106" t="s">
        <v>100</v>
      </c>
      <c r="I106" t="s">
        <v>101</v>
      </c>
      <c r="J106">
        <v>426433</v>
      </c>
      <c r="K106" t="s">
        <v>102</v>
      </c>
      <c r="L106">
        <v>7.95</v>
      </c>
      <c r="O106" t="s">
        <v>103</v>
      </c>
      <c r="S106" s="63">
        <v>46023</v>
      </c>
      <c r="T106" s="63">
        <v>46053.999305555553</v>
      </c>
      <c r="U106" t="s">
        <v>104</v>
      </c>
    </row>
    <row r="107" spans="1:21" x14ac:dyDescent="0.35">
      <c r="A107" t="s">
        <v>98</v>
      </c>
      <c r="B107" t="s">
        <v>38</v>
      </c>
      <c r="C107">
        <v>0</v>
      </c>
      <c r="D107" s="63">
        <v>43831</v>
      </c>
      <c r="F107">
        <v>341177</v>
      </c>
      <c r="G107" t="s">
        <v>100</v>
      </c>
      <c r="I107" t="s">
        <v>101</v>
      </c>
      <c r="J107">
        <v>426433</v>
      </c>
      <c r="K107" t="s">
        <v>102</v>
      </c>
      <c r="L107">
        <v>18.54</v>
      </c>
      <c r="O107" t="s">
        <v>105</v>
      </c>
      <c r="S107" s="63">
        <v>46023</v>
      </c>
      <c r="T107" s="63">
        <v>46053.999305555553</v>
      </c>
      <c r="U107" t="s">
        <v>104</v>
      </c>
    </row>
    <row r="108" spans="1:21" x14ac:dyDescent="0.35">
      <c r="A108" t="s">
        <v>98</v>
      </c>
      <c r="B108" t="s">
        <v>38</v>
      </c>
      <c r="C108">
        <v>0</v>
      </c>
      <c r="D108" s="63">
        <v>43831</v>
      </c>
      <c r="F108">
        <v>340530</v>
      </c>
      <c r="G108" t="s">
        <v>100</v>
      </c>
      <c r="I108" t="s">
        <v>101</v>
      </c>
      <c r="J108">
        <v>426433</v>
      </c>
      <c r="K108" t="s">
        <v>102</v>
      </c>
      <c r="L108">
        <v>22.05</v>
      </c>
      <c r="O108" t="s">
        <v>103</v>
      </c>
      <c r="S108" s="63">
        <v>46023</v>
      </c>
      <c r="T108" s="63">
        <v>46053.999305555553</v>
      </c>
      <c r="U108" t="s">
        <v>104</v>
      </c>
    </row>
    <row r="109" spans="1:21" x14ac:dyDescent="0.35">
      <c r="A109" t="s">
        <v>98</v>
      </c>
      <c r="B109" t="s">
        <v>38</v>
      </c>
      <c r="C109">
        <v>0</v>
      </c>
      <c r="D109" s="63">
        <v>43831</v>
      </c>
      <c r="F109">
        <v>340532</v>
      </c>
      <c r="G109" t="s">
        <v>100</v>
      </c>
      <c r="I109" t="s">
        <v>101</v>
      </c>
      <c r="J109">
        <v>426433</v>
      </c>
      <c r="K109" t="s">
        <v>102</v>
      </c>
      <c r="L109">
        <v>20.07</v>
      </c>
      <c r="O109" t="s">
        <v>103</v>
      </c>
      <c r="S109" s="63">
        <v>46023</v>
      </c>
      <c r="T109" s="63">
        <v>46053.999305555553</v>
      </c>
      <c r="U109" t="s">
        <v>104</v>
      </c>
    </row>
    <row r="110" spans="1:21" x14ac:dyDescent="0.35">
      <c r="A110" t="s">
        <v>98</v>
      </c>
      <c r="B110" t="s">
        <v>38</v>
      </c>
      <c r="C110">
        <v>0</v>
      </c>
      <c r="D110" s="63">
        <v>43831</v>
      </c>
      <c r="F110">
        <v>340052</v>
      </c>
      <c r="G110" t="s">
        <v>100</v>
      </c>
      <c r="I110" t="s">
        <v>101</v>
      </c>
      <c r="J110">
        <v>426433</v>
      </c>
      <c r="K110" t="s">
        <v>102</v>
      </c>
      <c r="L110">
        <v>16.079999999999998</v>
      </c>
      <c r="O110" t="s">
        <v>103</v>
      </c>
      <c r="S110" s="63">
        <v>46023</v>
      </c>
      <c r="T110" s="63">
        <v>46053.999305555553</v>
      </c>
      <c r="U110" t="s">
        <v>104</v>
      </c>
    </row>
    <row r="111" spans="1:21" x14ac:dyDescent="0.35">
      <c r="A111" t="s">
        <v>98</v>
      </c>
      <c r="B111" t="s">
        <v>38</v>
      </c>
      <c r="C111">
        <v>0</v>
      </c>
      <c r="D111" s="63">
        <v>43831</v>
      </c>
      <c r="F111">
        <v>340528</v>
      </c>
      <c r="G111" t="s">
        <v>100</v>
      </c>
      <c r="I111" t="s">
        <v>101</v>
      </c>
      <c r="J111">
        <v>426433</v>
      </c>
      <c r="K111" t="s">
        <v>102</v>
      </c>
      <c r="L111">
        <v>21.6</v>
      </c>
      <c r="O111" t="s">
        <v>103</v>
      </c>
      <c r="S111" s="63">
        <v>46023</v>
      </c>
      <c r="T111" s="63">
        <v>46053.999305555553</v>
      </c>
      <c r="U111" t="s">
        <v>104</v>
      </c>
    </row>
    <row r="112" spans="1:21" x14ac:dyDescent="0.35">
      <c r="A112" t="s">
        <v>98</v>
      </c>
      <c r="B112" t="s">
        <v>38</v>
      </c>
      <c r="C112">
        <v>0</v>
      </c>
      <c r="D112" s="63">
        <v>43831</v>
      </c>
      <c r="F112">
        <v>341497</v>
      </c>
      <c r="G112" t="s">
        <v>100</v>
      </c>
      <c r="I112" t="s">
        <v>101</v>
      </c>
      <c r="J112">
        <v>426433</v>
      </c>
      <c r="K112" t="s">
        <v>102</v>
      </c>
      <c r="L112">
        <v>8.3000000000000007</v>
      </c>
      <c r="O112" t="s">
        <v>103</v>
      </c>
      <c r="S112" s="63">
        <v>46023</v>
      </c>
      <c r="T112" s="63">
        <v>46053.999305555553</v>
      </c>
      <c r="U112" t="s">
        <v>104</v>
      </c>
    </row>
    <row r="113" spans="1:21" x14ac:dyDescent="0.35">
      <c r="A113" t="s">
        <v>98</v>
      </c>
      <c r="B113" t="s">
        <v>38</v>
      </c>
      <c r="C113">
        <v>0</v>
      </c>
      <c r="D113" s="63">
        <v>43831</v>
      </c>
      <c r="F113">
        <v>340351</v>
      </c>
      <c r="G113" t="s">
        <v>100</v>
      </c>
      <c r="I113" t="s">
        <v>101</v>
      </c>
      <c r="J113">
        <v>426433</v>
      </c>
      <c r="K113" t="s">
        <v>102</v>
      </c>
      <c r="L113">
        <v>6.25</v>
      </c>
      <c r="O113" t="s">
        <v>103</v>
      </c>
      <c r="S113" s="63">
        <v>46023</v>
      </c>
      <c r="T113" s="63">
        <v>46053.999305555553</v>
      </c>
      <c r="U113" t="s">
        <v>104</v>
      </c>
    </row>
    <row r="114" spans="1:21" x14ac:dyDescent="0.35">
      <c r="A114" t="s">
        <v>98</v>
      </c>
      <c r="B114" t="s">
        <v>38</v>
      </c>
      <c r="C114">
        <v>0</v>
      </c>
      <c r="D114" s="63">
        <v>43831</v>
      </c>
      <c r="F114">
        <v>341622</v>
      </c>
      <c r="G114" t="s">
        <v>100</v>
      </c>
      <c r="I114" t="s">
        <v>101</v>
      </c>
      <c r="J114">
        <v>426433</v>
      </c>
      <c r="K114" t="s">
        <v>102</v>
      </c>
      <c r="L114">
        <v>7.66</v>
      </c>
      <c r="O114" t="s">
        <v>103</v>
      </c>
      <c r="S114" s="63">
        <v>46023</v>
      </c>
      <c r="T114" s="63">
        <v>46053.999305555553</v>
      </c>
      <c r="U114" t="s">
        <v>104</v>
      </c>
    </row>
    <row r="115" spans="1:21" x14ac:dyDescent="0.35">
      <c r="A115" t="s">
        <v>98</v>
      </c>
      <c r="B115" t="s">
        <v>38</v>
      </c>
      <c r="C115">
        <v>0</v>
      </c>
      <c r="D115" s="63">
        <v>43831</v>
      </c>
      <c r="F115">
        <v>340349</v>
      </c>
      <c r="G115" t="s">
        <v>100</v>
      </c>
      <c r="I115" t="s">
        <v>101</v>
      </c>
      <c r="J115">
        <v>426433</v>
      </c>
      <c r="K115" t="s">
        <v>102</v>
      </c>
      <c r="L115">
        <v>7.07</v>
      </c>
      <c r="O115" t="s">
        <v>103</v>
      </c>
      <c r="S115" s="63">
        <v>46023</v>
      </c>
      <c r="T115" s="63">
        <v>46053.999305555553</v>
      </c>
      <c r="U115" t="s">
        <v>104</v>
      </c>
    </row>
    <row r="116" spans="1:21" x14ac:dyDescent="0.35">
      <c r="A116" t="s">
        <v>98</v>
      </c>
      <c r="B116" t="s">
        <v>38</v>
      </c>
      <c r="C116">
        <v>0</v>
      </c>
      <c r="D116" s="63">
        <v>43831</v>
      </c>
      <c r="F116">
        <v>340350</v>
      </c>
      <c r="G116" t="s">
        <v>100</v>
      </c>
      <c r="I116" t="s">
        <v>101</v>
      </c>
      <c r="J116">
        <v>426433</v>
      </c>
      <c r="K116" t="s">
        <v>102</v>
      </c>
      <c r="L116">
        <v>7.83</v>
      </c>
      <c r="O116" t="s">
        <v>103</v>
      </c>
      <c r="S116" s="63">
        <v>46023</v>
      </c>
      <c r="T116" s="63">
        <v>46053.999305555553</v>
      </c>
      <c r="U116" t="s">
        <v>104</v>
      </c>
    </row>
    <row r="117" spans="1:21" x14ac:dyDescent="0.35">
      <c r="A117" t="s">
        <v>98</v>
      </c>
      <c r="B117" t="s">
        <v>38</v>
      </c>
      <c r="C117">
        <v>0</v>
      </c>
      <c r="D117" s="63">
        <v>43831</v>
      </c>
      <c r="F117">
        <v>340348</v>
      </c>
      <c r="G117" t="s">
        <v>100</v>
      </c>
      <c r="I117" t="s">
        <v>101</v>
      </c>
      <c r="J117">
        <v>426433</v>
      </c>
      <c r="K117" t="s">
        <v>102</v>
      </c>
      <c r="L117">
        <v>7.61</v>
      </c>
      <c r="O117" t="s">
        <v>103</v>
      </c>
      <c r="S117" s="63">
        <v>46023</v>
      </c>
      <c r="T117" s="63">
        <v>46053.999305555553</v>
      </c>
      <c r="U117" t="s">
        <v>104</v>
      </c>
    </row>
    <row r="118" spans="1:21" x14ac:dyDescent="0.35">
      <c r="A118" t="s">
        <v>98</v>
      </c>
      <c r="B118" t="s">
        <v>38</v>
      </c>
      <c r="C118">
        <v>0</v>
      </c>
      <c r="D118" s="63">
        <v>43831</v>
      </c>
      <c r="F118">
        <v>340529</v>
      </c>
      <c r="G118" t="s">
        <v>100</v>
      </c>
      <c r="I118" t="s">
        <v>101</v>
      </c>
      <c r="J118">
        <v>426433</v>
      </c>
      <c r="K118" t="s">
        <v>102</v>
      </c>
      <c r="L118">
        <v>20.79</v>
      </c>
      <c r="O118" t="s">
        <v>103</v>
      </c>
      <c r="S118" s="63">
        <v>46023</v>
      </c>
      <c r="T118" s="63">
        <v>46053.999305555553</v>
      </c>
      <c r="U118" t="s">
        <v>104</v>
      </c>
    </row>
    <row r="119" spans="1:21" x14ac:dyDescent="0.35">
      <c r="A119" t="s">
        <v>98</v>
      </c>
      <c r="B119" t="s">
        <v>38</v>
      </c>
      <c r="C119">
        <v>0</v>
      </c>
      <c r="D119" s="63">
        <v>43831</v>
      </c>
      <c r="F119">
        <v>341930</v>
      </c>
      <c r="G119" t="s">
        <v>100</v>
      </c>
      <c r="I119" t="s">
        <v>101</v>
      </c>
      <c r="J119">
        <v>426433</v>
      </c>
      <c r="K119" t="s">
        <v>102</v>
      </c>
      <c r="L119">
        <v>13.68</v>
      </c>
      <c r="O119" t="s">
        <v>103</v>
      </c>
      <c r="S119" s="63">
        <v>46023</v>
      </c>
      <c r="T119" s="63">
        <v>46053.999305555553</v>
      </c>
      <c r="U119" t="s">
        <v>104</v>
      </c>
    </row>
    <row r="120" spans="1:21" x14ac:dyDescent="0.35">
      <c r="A120" t="s">
        <v>98</v>
      </c>
      <c r="B120" t="s">
        <v>38</v>
      </c>
      <c r="C120">
        <v>0</v>
      </c>
      <c r="D120" s="63">
        <v>43831</v>
      </c>
      <c r="F120">
        <v>342081</v>
      </c>
      <c r="G120" t="s">
        <v>100</v>
      </c>
      <c r="I120" t="s">
        <v>101</v>
      </c>
      <c r="J120">
        <v>426433</v>
      </c>
      <c r="K120" t="s">
        <v>102</v>
      </c>
      <c r="L120">
        <v>19.170000000000002</v>
      </c>
      <c r="O120" t="s">
        <v>103</v>
      </c>
      <c r="S120" s="63">
        <v>46023</v>
      </c>
      <c r="T120" s="63">
        <v>46053.999305555553</v>
      </c>
      <c r="U120" t="s">
        <v>104</v>
      </c>
    </row>
    <row r="121" spans="1:21" x14ac:dyDescent="0.35">
      <c r="A121" t="s">
        <v>98</v>
      </c>
      <c r="B121" t="s">
        <v>38</v>
      </c>
      <c r="C121">
        <v>0</v>
      </c>
      <c r="D121" s="63">
        <v>43831</v>
      </c>
      <c r="F121">
        <v>342023</v>
      </c>
      <c r="G121" t="s">
        <v>100</v>
      </c>
      <c r="I121" t="s">
        <v>101</v>
      </c>
      <c r="J121">
        <v>426433</v>
      </c>
      <c r="K121" t="s">
        <v>102</v>
      </c>
      <c r="L121">
        <v>9.81</v>
      </c>
      <c r="O121" t="s">
        <v>105</v>
      </c>
      <c r="S121" s="63">
        <v>46023</v>
      </c>
      <c r="T121" s="63">
        <v>46053.999305555553</v>
      </c>
      <c r="U121" t="s">
        <v>104</v>
      </c>
    </row>
    <row r="122" spans="1:21" x14ac:dyDescent="0.35">
      <c r="A122" t="s">
        <v>98</v>
      </c>
      <c r="B122" t="s">
        <v>38</v>
      </c>
      <c r="C122">
        <v>0</v>
      </c>
      <c r="D122" s="63">
        <v>43831</v>
      </c>
      <c r="F122">
        <v>340919</v>
      </c>
      <c r="G122" t="s">
        <v>100</v>
      </c>
      <c r="I122" t="s">
        <v>101</v>
      </c>
      <c r="J122">
        <v>426433</v>
      </c>
      <c r="K122" t="s">
        <v>102</v>
      </c>
      <c r="L122">
        <v>10.16</v>
      </c>
      <c r="O122" t="s">
        <v>103</v>
      </c>
      <c r="S122" s="63">
        <v>46023</v>
      </c>
      <c r="T122" s="63">
        <v>46053.999305555553</v>
      </c>
      <c r="U122" t="s">
        <v>104</v>
      </c>
    </row>
    <row r="123" spans="1:21" x14ac:dyDescent="0.35">
      <c r="A123" t="s">
        <v>98</v>
      </c>
      <c r="B123" t="s">
        <v>38</v>
      </c>
      <c r="C123">
        <v>0</v>
      </c>
      <c r="D123" s="63">
        <v>43831</v>
      </c>
      <c r="F123">
        <v>340920</v>
      </c>
      <c r="G123" t="s">
        <v>100</v>
      </c>
      <c r="I123" t="s">
        <v>101</v>
      </c>
      <c r="J123">
        <v>426433</v>
      </c>
      <c r="K123" t="s">
        <v>102</v>
      </c>
      <c r="L123">
        <v>10.5</v>
      </c>
      <c r="O123" t="s">
        <v>103</v>
      </c>
      <c r="S123" s="63">
        <v>46023</v>
      </c>
      <c r="T123" s="63">
        <v>46053.999305555553</v>
      </c>
      <c r="U123" t="s">
        <v>104</v>
      </c>
    </row>
    <row r="124" spans="1:21" x14ac:dyDescent="0.35">
      <c r="A124" t="s">
        <v>98</v>
      </c>
      <c r="B124" t="s">
        <v>38</v>
      </c>
      <c r="C124">
        <v>0</v>
      </c>
      <c r="D124" s="63">
        <v>43831</v>
      </c>
      <c r="F124">
        <v>340921</v>
      </c>
      <c r="G124" t="s">
        <v>100</v>
      </c>
      <c r="I124" t="s">
        <v>101</v>
      </c>
      <c r="J124">
        <v>426433</v>
      </c>
      <c r="K124" t="s">
        <v>102</v>
      </c>
      <c r="L124">
        <v>9.7799999999999994</v>
      </c>
      <c r="O124" t="s">
        <v>103</v>
      </c>
      <c r="S124" s="63">
        <v>46023</v>
      </c>
      <c r="T124" s="63">
        <v>46053.999305555553</v>
      </c>
      <c r="U124" t="s">
        <v>104</v>
      </c>
    </row>
    <row r="125" spans="1:21" x14ac:dyDescent="0.35">
      <c r="A125" t="s">
        <v>98</v>
      </c>
      <c r="B125" t="s">
        <v>38</v>
      </c>
      <c r="C125">
        <v>0</v>
      </c>
      <c r="D125" s="63">
        <v>43831</v>
      </c>
      <c r="F125">
        <v>340923</v>
      </c>
      <c r="G125" t="s">
        <v>100</v>
      </c>
      <c r="I125" t="s">
        <v>101</v>
      </c>
      <c r="J125">
        <v>426433</v>
      </c>
      <c r="K125" t="s">
        <v>102</v>
      </c>
      <c r="L125">
        <v>10.14</v>
      </c>
      <c r="O125" t="s">
        <v>103</v>
      </c>
      <c r="S125" s="63">
        <v>46023</v>
      </c>
      <c r="T125" s="63">
        <v>46053.999305555553</v>
      </c>
      <c r="U125" t="s">
        <v>104</v>
      </c>
    </row>
    <row r="126" spans="1:21" x14ac:dyDescent="0.35">
      <c r="A126" t="s">
        <v>98</v>
      </c>
      <c r="B126" t="s">
        <v>38</v>
      </c>
      <c r="C126">
        <v>0</v>
      </c>
      <c r="D126" s="63">
        <v>43831</v>
      </c>
      <c r="F126">
        <v>340035</v>
      </c>
      <c r="G126" t="s">
        <v>100</v>
      </c>
      <c r="I126" t="s">
        <v>101</v>
      </c>
      <c r="J126">
        <v>426433</v>
      </c>
      <c r="K126" t="s">
        <v>102</v>
      </c>
      <c r="L126">
        <v>17.989999999999998</v>
      </c>
      <c r="O126" t="s">
        <v>103</v>
      </c>
      <c r="S126" s="63">
        <v>46023</v>
      </c>
      <c r="T126" s="63">
        <v>46053.999305555553</v>
      </c>
      <c r="U126" t="s">
        <v>104</v>
      </c>
    </row>
    <row r="127" spans="1:21" x14ac:dyDescent="0.35">
      <c r="A127" t="s">
        <v>98</v>
      </c>
      <c r="B127" t="s">
        <v>38</v>
      </c>
      <c r="C127">
        <v>0</v>
      </c>
      <c r="D127" s="63">
        <v>43831</v>
      </c>
      <c r="F127">
        <v>340057</v>
      </c>
      <c r="G127" t="s">
        <v>100</v>
      </c>
      <c r="I127" t="s">
        <v>101</v>
      </c>
      <c r="J127">
        <v>426433</v>
      </c>
      <c r="K127" t="s">
        <v>102</v>
      </c>
      <c r="L127">
        <v>10.5</v>
      </c>
      <c r="O127" t="s">
        <v>103</v>
      </c>
      <c r="S127" s="63">
        <v>46023</v>
      </c>
      <c r="T127" s="63">
        <v>46053.999305555553</v>
      </c>
      <c r="U127" t="s">
        <v>104</v>
      </c>
    </row>
    <row r="128" spans="1:21" x14ac:dyDescent="0.35">
      <c r="A128" t="s">
        <v>98</v>
      </c>
      <c r="B128" t="s">
        <v>38</v>
      </c>
      <c r="C128">
        <v>0</v>
      </c>
      <c r="D128" s="63">
        <v>43831</v>
      </c>
      <c r="F128">
        <v>340076</v>
      </c>
      <c r="G128" t="s">
        <v>100</v>
      </c>
      <c r="I128" t="s">
        <v>101</v>
      </c>
      <c r="J128">
        <v>426433</v>
      </c>
      <c r="K128" t="s">
        <v>102</v>
      </c>
      <c r="L128">
        <v>12</v>
      </c>
      <c r="O128" t="s">
        <v>103</v>
      </c>
      <c r="S128" s="63">
        <v>46023</v>
      </c>
      <c r="T128" s="63">
        <v>46053.999305555553</v>
      </c>
      <c r="U128" t="s">
        <v>104</v>
      </c>
    </row>
    <row r="129" spans="1:21" x14ac:dyDescent="0.35">
      <c r="A129" t="s">
        <v>98</v>
      </c>
      <c r="B129" t="s">
        <v>38</v>
      </c>
      <c r="C129">
        <v>0</v>
      </c>
      <c r="D129" s="63">
        <v>43831</v>
      </c>
      <c r="F129">
        <v>340950</v>
      </c>
      <c r="G129" t="s">
        <v>100</v>
      </c>
      <c r="I129" t="s">
        <v>101</v>
      </c>
      <c r="J129">
        <v>426433</v>
      </c>
      <c r="K129" t="s">
        <v>102</v>
      </c>
      <c r="L129">
        <v>14.5</v>
      </c>
      <c r="O129" t="s">
        <v>103</v>
      </c>
      <c r="S129" s="63">
        <v>46023</v>
      </c>
      <c r="T129" s="63">
        <v>46053.999305555553</v>
      </c>
      <c r="U129" t="s">
        <v>104</v>
      </c>
    </row>
    <row r="130" spans="1:21" x14ac:dyDescent="0.35">
      <c r="A130" t="s">
        <v>98</v>
      </c>
      <c r="B130" t="s">
        <v>38</v>
      </c>
      <c r="C130">
        <v>0</v>
      </c>
      <c r="D130" s="63">
        <v>43831</v>
      </c>
      <c r="F130">
        <v>341024</v>
      </c>
      <c r="G130" t="s">
        <v>100</v>
      </c>
      <c r="I130" t="s">
        <v>101</v>
      </c>
      <c r="J130">
        <v>426433</v>
      </c>
      <c r="K130" t="s">
        <v>102</v>
      </c>
      <c r="L130">
        <v>33.78</v>
      </c>
      <c r="O130" t="s">
        <v>105</v>
      </c>
      <c r="S130" s="63">
        <v>46023</v>
      </c>
      <c r="T130" s="63">
        <v>46053.999305555553</v>
      </c>
      <c r="U130" t="s">
        <v>104</v>
      </c>
    </row>
    <row r="131" spans="1:21" x14ac:dyDescent="0.35">
      <c r="A131" t="s">
        <v>98</v>
      </c>
      <c r="B131" t="s">
        <v>38</v>
      </c>
      <c r="C131">
        <v>0</v>
      </c>
      <c r="D131" s="63">
        <v>43831</v>
      </c>
      <c r="F131">
        <v>342112</v>
      </c>
      <c r="G131" t="s">
        <v>100</v>
      </c>
      <c r="I131" t="s">
        <v>101</v>
      </c>
      <c r="J131">
        <v>426433</v>
      </c>
      <c r="K131" t="s">
        <v>102</v>
      </c>
      <c r="L131">
        <v>31.02</v>
      </c>
      <c r="O131" t="s">
        <v>105</v>
      </c>
      <c r="S131" s="63">
        <v>46023</v>
      </c>
      <c r="T131" s="63">
        <v>46053.999305555553</v>
      </c>
      <c r="U131" t="s">
        <v>104</v>
      </c>
    </row>
    <row r="132" spans="1:21" x14ac:dyDescent="0.35">
      <c r="A132" t="s">
        <v>98</v>
      </c>
      <c r="B132" t="s">
        <v>38</v>
      </c>
      <c r="C132">
        <v>0</v>
      </c>
      <c r="D132" s="63">
        <v>43831</v>
      </c>
      <c r="F132">
        <v>340021</v>
      </c>
      <c r="G132" t="s">
        <v>100</v>
      </c>
      <c r="I132" t="s">
        <v>101</v>
      </c>
      <c r="J132">
        <v>426433</v>
      </c>
      <c r="K132" t="s">
        <v>102</v>
      </c>
      <c r="L132">
        <v>16</v>
      </c>
      <c r="O132" t="s">
        <v>103</v>
      </c>
      <c r="S132" s="63">
        <v>46023</v>
      </c>
      <c r="T132" s="63">
        <v>46053.999305555553</v>
      </c>
      <c r="U132" t="s">
        <v>104</v>
      </c>
    </row>
    <row r="133" spans="1:21" x14ac:dyDescent="0.35">
      <c r="A133" t="s">
        <v>98</v>
      </c>
      <c r="B133" t="s">
        <v>38</v>
      </c>
      <c r="C133">
        <v>0</v>
      </c>
      <c r="D133" s="63">
        <v>43831</v>
      </c>
      <c r="F133">
        <v>340103</v>
      </c>
      <c r="G133" t="s">
        <v>100</v>
      </c>
      <c r="I133" t="s">
        <v>101</v>
      </c>
      <c r="J133">
        <v>426433</v>
      </c>
      <c r="K133" t="s">
        <v>102</v>
      </c>
      <c r="L133">
        <v>16</v>
      </c>
      <c r="O133" t="s">
        <v>103</v>
      </c>
      <c r="S133" s="63">
        <v>46023</v>
      </c>
      <c r="T133" s="63">
        <v>46053.999305555553</v>
      </c>
      <c r="U133" t="s">
        <v>104</v>
      </c>
    </row>
    <row r="134" spans="1:21" x14ac:dyDescent="0.35">
      <c r="A134" t="s">
        <v>98</v>
      </c>
      <c r="B134" t="s">
        <v>38</v>
      </c>
      <c r="C134">
        <v>0</v>
      </c>
      <c r="D134" s="63">
        <v>43831</v>
      </c>
      <c r="F134">
        <v>341210</v>
      </c>
      <c r="G134" t="s">
        <v>100</v>
      </c>
      <c r="I134" t="s">
        <v>101</v>
      </c>
      <c r="J134">
        <v>426433</v>
      </c>
      <c r="K134" t="s">
        <v>102</v>
      </c>
      <c r="L134">
        <v>15</v>
      </c>
      <c r="O134" t="s">
        <v>103</v>
      </c>
      <c r="S134" s="63">
        <v>46023</v>
      </c>
      <c r="T134" s="63">
        <v>46053.999305555553</v>
      </c>
      <c r="U134" t="s">
        <v>104</v>
      </c>
    </row>
    <row r="135" spans="1:21" x14ac:dyDescent="0.35">
      <c r="A135" t="s">
        <v>98</v>
      </c>
      <c r="B135" t="s">
        <v>38</v>
      </c>
      <c r="C135">
        <v>0</v>
      </c>
      <c r="D135" s="63">
        <v>43831</v>
      </c>
      <c r="F135">
        <v>341211</v>
      </c>
      <c r="G135" t="s">
        <v>100</v>
      </c>
      <c r="I135" t="s">
        <v>101</v>
      </c>
      <c r="J135">
        <v>426433</v>
      </c>
      <c r="K135" t="s">
        <v>102</v>
      </c>
      <c r="L135">
        <v>13.5</v>
      </c>
      <c r="O135" t="s">
        <v>103</v>
      </c>
      <c r="S135" s="63">
        <v>46023</v>
      </c>
      <c r="T135" s="63">
        <v>46053.999305555553</v>
      </c>
      <c r="U135" t="s">
        <v>104</v>
      </c>
    </row>
    <row r="136" spans="1:21" x14ac:dyDescent="0.35">
      <c r="A136" t="s">
        <v>98</v>
      </c>
      <c r="B136" t="s">
        <v>38</v>
      </c>
      <c r="C136">
        <v>0</v>
      </c>
      <c r="D136" s="63">
        <v>43831</v>
      </c>
      <c r="F136">
        <v>341213</v>
      </c>
      <c r="G136" t="s">
        <v>100</v>
      </c>
      <c r="I136" t="s">
        <v>101</v>
      </c>
      <c r="J136">
        <v>426433</v>
      </c>
      <c r="K136" t="s">
        <v>102</v>
      </c>
      <c r="L136">
        <v>14</v>
      </c>
      <c r="O136" t="s">
        <v>103</v>
      </c>
      <c r="S136" s="63">
        <v>46023</v>
      </c>
      <c r="T136" s="63">
        <v>46053.999305555553</v>
      </c>
      <c r="U136" t="s">
        <v>104</v>
      </c>
    </row>
    <row r="137" spans="1:21" x14ac:dyDescent="0.35">
      <c r="A137" t="s">
        <v>98</v>
      </c>
      <c r="B137" t="s">
        <v>38</v>
      </c>
      <c r="C137">
        <v>0</v>
      </c>
      <c r="D137" s="63">
        <v>43831</v>
      </c>
      <c r="F137">
        <v>341214</v>
      </c>
      <c r="G137" t="s">
        <v>100</v>
      </c>
      <c r="I137" t="s">
        <v>101</v>
      </c>
      <c r="J137">
        <v>426433</v>
      </c>
      <c r="K137" t="s">
        <v>102</v>
      </c>
      <c r="L137">
        <v>13</v>
      </c>
      <c r="O137" t="s">
        <v>103</v>
      </c>
      <c r="S137" s="63">
        <v>46023</v>
      </c>
      <c r="T137" s="63">
        <v>46053.999305555553</v>
      </c>
      <c r="U137" t="s">
        <v>104</v>
      </c>
    </row>
    <row r="138" spans="1:21" x14ac:dyDescent="0.35">
      <c r="A138" t="s">
        <v>98</v>
      </c>
      <c r="B138" t="s">
        <v>38</v>
      </c>
      <c r="C138">
        <v>0</v>
      </c>
      <c r="D138" s="63">
        <v>43831</v>
      </c>
      <c r="F138">
        <v>340071</v>
      </c>
      <c r="G138" t="s">
        <v>100</v>
      </c>
      <c r="I138" t="s">
        <v>101</v>
      </c>
      <c r="J138">
        <v>426433</v>
      </c>
      <c r="K138" t="s">
        <v>102</v>
      </c>
      <c r="L138">
        <v>16.48</v>
      </c>
      <c r="O138" t="s">
        <v>103</v>
      </c>
      <c r="S138" s="63">
        <v>46023</v>
      </c>
      <c r="T138" s="63">
        <v>46053.999305555553</v>
      </c>
      <c r="U138" t="s">
        <v>104</v>
      </c>
    </row>
    <row r="139" spans="1:21" x14ac:dyDescent="0.35">
      <c r="A139" t="s">
        <v>98</v>
      </c>
      <c r="B139" t="s">
        <v>38</v>
      </c>
      <c r="C139">
        <v>0</v>
      </c>
      <c r="D139" s="63">
        <v>43831</v>
      </c>
      <c r="F139">
        <v>341212</v>
      </c>
      <c r="G139" t="s">
        <v>100</v>
      </c>
      <c r="I139" t="s">
        <v>101</v>
      </c>
      <c r="J139">
        <v>426433</v>
      </c>
      <c r="K139" t="s">
        <v>102</v>
      </c>
      <c r="L139">
        <v>13.5</v>
      </c>
      <c r="O139" t="s">
        <v>103</v>
      </c>
      <c r="S139" s="63">
        <v>46023</v>
      </c>
      <c r="T139" s="63">
        <v>46053.999305555553</v>
      </c>
      <c r="U139" t="s">
        <v>104</v>
      </c>
    </row>
    <row r="140" spans="1:21" x14ac:dyDescent="0.35">
      <c r="A140" t="s">
        <v>98</v>
      </c>
      <c r="B140" t="s">
        <v>38</v>
      </c>
      <c r="C140">
        <v>0</v>
      </c>
      <c r="D140" s="63">
        <v>43831</v>
      </c>
      <c r="F140">
        <v>341247</v>
      </c>
      <c r="G140" t="s">
        <v>100</v>
      </c>
      <c r="I140" t="s">
        <v>101</v>
      </c>
      <c r="J140">
        <v>426433</v>
      </c>
      <c r="K140" t="s">
        <v>102</v>
      </c>
      <c r="L140">
        <v>14</v>
      </c>
      <c r="O140" t="s">
        <v>103</v>
      </c>
      <c r="S140" s="63">
        <v>46023</v>
      </c>
      <c r="T140" s="63">
        <v>46053.999305555553</v>
      </c>
      <c r="U140" t="s">
        <v>104</v>
      </c>
    </row>
    <row r="141" spans="1:21" x14ac:dyDescent="0.35">
      <c r="A141" t="s">
        <v>98</v>
      </c>
      <c r="B141" t="s">
        <v>38</v>
      </c>
      <c r="C141">
        <v>0</v>
      </c>
      <c r="D141" s="63">
        <v>43831</v>
      </c>
      <c r="F141">
        <v>341891</v>
      </c>
      <c r="G141" t="s">
        <v>100</v>
      </c>
      <c r="I141" t="s">
        <v>101</v>
      </c>
      <c r="J141">
        <v>426433</v>
      </c>
      <c r="K141" t="s">
        <v>102</v>
      </c>
      <c r="L141">
        <v>14.4</v>
      </c>
      <c r="O141" t="s">
        <v>103</v>
      </c>
      <c r="S141" s="63">
        <v>46023</v>
      </c>
      <c r="T141" s="63">
        <v>46053.999305555553</v>
      </c>
      <c r="U141" t="s">
        <v>104</v>
      </c>
    </row>
    <row r="142" spans="1:21" x14ac:dyDescent="0.35">
      <c r="A142" t="s">
        <v>98</v>
      </c>
      <c r="B142" t="s">
        <v>38</v>
      </c>
      <c r="C142">
        <v>0</v>
      </c>
      <c r="D142" s="63">
        <v>43831</v>
      </c>
      <c r="F142">
        <v>341892</v>
      </c>
      <c r="G142" t="s">
        <v>100</v>
      </c>
      <c r="I142" t="s">
        <v>101</v>
      </c>
      <c r="J142">
        <v>426433</v>
      </c>
      <c r="K142" t="s">
        <v>102</v>
      </c>
      <c r="L142">
        <v>13.72</v>
      </c>
      <c r="O142" t="s">
        <v>103</v>
      </c>
      <c r="S142" s="63">
        <v>46023</v>
      </c>
      <c r="T142" s="63">
        <v>46053.999305555553</v>
      </c>
      <c r="U142" t="s">
        <v>104</v>
      </c>
    </row>
    <row r="143" spans="1:21" x14ac:dyDescent="0.35">
      <c r="A143" t="s">
        <v>98</v>
      </c>
      <c r="B143" t="s">
        <v>38</v>
      </c>
      <c r="C143">
        <v>0</v>
      </c>
      <c r="D143" s="63">
        <v>43831</v>
      </c>
      <c r="F143">
        <v>341894</v>
      </c>
      <c r="G143" t="s">
        <v>100</v>
      </c>
      <c r="I143" t="s">
        <v>101</v>
      </c>
      <c r="J143">
        <v>426433</v>
      </c>
      <c r="K143" t="s">
        <v>102</v>
      </c>
      <c r="L143">
        <v>12.8</v>
      </c>
      <c r="O143" t="s">
        <v>103</v>
      </c>
      <c r="S143" s="63">
        <v>46023</v>
      </c>
      <c r="T143" s="63">
        <v>46053.999305555553</v>
      </c>
      <c r="U143" t="s">
        <v>104</v>
      </c>
    </row>
    <row r="144" spans="1:21" x14ac:dyDescent="0.35">
      <c r="A144" t="s">
        <v>98</v>
      </c>
      <c r="B144" t="s">
        <v>38</v>
      </c>
      <c r="C144">
        <v>0</v>
      </c>
      <c r="D144" s="63">
        <v>43831</v>
      </c>
      <c r="F144">
        <v>342068</v>
      </c>
      <c r="G144" t="s">
        <v>100</v>
      </c>
      <c r="I144" t="s">
        <v>101</v>
      </c>
      <c r="J144">
        <v>426433</v>
      </c>
      <c r="K144" t="s">
        <v>102</v>
      </c>
      <c r="L144">
        <v>17.55</v>
      </c>
      <c r="O144" t="s">
        <v>103</v>
      </c>
      <c r="S144" s="63">
        <v>46023</v>
      </c>
      <c r="T144" s="63">
        <v>46053.999305555553</v>
      </c>
      <c r="U144" t="s">
        <v>104</v>
      </c>
    </row>
    <row r="145" spans="1:21" x14ac:dyDescent="0.35">
      <c r="A145" t="s">
        <v>98</v>
      </c>
      <c r="B145" t="s">
        <v>38</v>
      </c>
      <c r="C145">
        <v>0</v>
      </c>
      <c r="D145" s="63">
        <v>43831</v>
      </c>
      <c r="F145">
        <v>342071</v>
      </c>
      <c r="G145" t="s">
        <v>100</v>
      </c>
      <c r="I145" t="s">
        <v>101</v>
      </c>
      <c r="J145">
        <v>426433</v>
      </c>
      <c r="K145" t="s">
        <v>102</v>
      </c>
      <c r="L145">
        <v>17.46</v>
      </c>
      <c r="O145" t="s">
        <v>103</v>
      </c>
      <c r="S145" s="63">
        <v>46023</v>
      </c>
      <c r="T145" s="63">
        <v>46053.999305555553</v>
      </c>
      <c r="U145" t="s">
        <v>104</v>
      </c>
    </row>
    <row r="146" spans="1:21" x14ac:dyDescent="0.35">
      <c r="A146" t="s">
        <v>98</v>
      </c>
      <c r="B146" t="s">
        <v>38</v>
      </c>
      <c r="C146">
        <v>0</v>
      </c>
      <c r="D146" s="63">
        <v>43831</v>
      </c>
      <c r="F146">
        <v>342072</v>
      </c>
      <c r="G146" t="s">
        <v>100</v>
      </c>
      <c r="I146" t="s">
        <v>101</v>
      </c>
      <c r="J146">
        <v>426433</v>
      </c>
      <c r="K146" t="s">
        <v>102</v>
      </c>
      <c r="L146">
        <v>19.350000000000001</v>
      </c>
      <c r="O146" t="s">
        <v>103</v>
      </c>
      <c r="S146" s="63">
        <v>46023</v>
      </c>
      <c r="T146" s="63">
        <v>46053.999305555553</v>
      </c>
      <c r="U146" t="s">
        <v>104</v>
      </c>
    </row>
    <row r="147" spans="1:21" x14ac:dyDescent="0.35">
      <c r="A147" t="s">
        <v>98</v>
      </c>
      <c r="B147" t="s">
        <v>38</v>
      </c>
      <c r="C147">
        <v>0</v>
      </c>
      <c r="D147" s="63">
        <v>43831</v>
      </c>
      <c r="F147">
        <v>341893</v>
      </c>
      <c r="G147" t="s">
        <v>100</v>
      </c>
      <c r="I147" t="s">
        <v>101</v>
      </c>
      <c r="J147">
        <v>426433</v>
      </c>
      <c r="K147" t="s">
        <v>102</v>
      </c>
      <c r="L147">
        <v>13.68</v>
      </c>
      <c r="O147" t="s">
        <v>103</v>
      </c>
      <c r="S147" s="63">
        <v>46023</v>
      </c>
      <c r="T147" s="63">
        <v>46053.999305555553</v>
      </c>
      <c r="U147" t="s">
        <v>104</v>
      </c>
    </row>
    <row r="148" spans="1:21" x14ac:dyDescent="0.35">
      <c r="A148" t="s">
        <v>98</v>
      </c>
      <c r="B148" t="s">
        <v>106</v>
      </c>
      <c r="C148">
        <v>0</v>
      </c>
      <c r="D148" s="63">
        <v>43831</v>
      </c>
      <c r="F148">
        <v>340013</v>
      </c>
      <c r="G148" t="s">
        <v>100</v>
      </c>
      <c r="I148" t="s">
        <v>101</v>
      </c>
      <c r="J148">
        <v>426433</v>
      </c>
      <c r="K148" t="s">
        <v>102</v>
      </c>
      <c r="L148">
        <v>86.4</v>
      </c>
      <c r="O148" t="s">
        <v>103</v>
      </c>
      <c r="S148" s="63">
        <v>46023</v>
      </c>
      <c r="T148" s="63">
        <v>46053.999305555553</v>
      </c>
      <c r="U148" t="s">
        <v>104</v>
      </c>
    </row>
    <row r="149" spans="1:21" x14ac:dyDescent="0.35">
      <c r="A149" t="s">
        <v>98</v>
      </c>
      <c r="B149" t="s">
        <v>106</v>
      </c>
      <c r="C149">
        <v>0</v>
      </c>
      <c r="D149" s="63">
        <v>43831</v>
      </c>
      <c r="F149">
        <v>340036</v>
      </c>
      <c r="G149" t="s">
        <v>100</v>
      </c>
      <c r="I149" t="s">
        <v>101</v>
      </c>
      <c r="J149">
        <v>426433</v>
      </c>
      <c r="K149" t="s">
        <v>102</v>
      </c>
      <c r="L149">
        <v>83.52</v>
      </c>
      <c r="O149" t="s">
        <v>103</v>
      </c>
      <c r="S149" s="63">
        <v>46023</v>
      </c>
      <c r="T149" s="63">
        <v>46053.999305555553</v>
      </c>
      <c r="U149" t="s">
        <v>104</v>
      </c>
    </row>
    <row r="150" spans="1:21" x14ac:dyDescent="0.35">
      <c r="A150" t="s">
        <v>98</v>
      </c>
      <c r="B150" t="s">
        <v>106</v>
      </c>
      <c r="C150">
        <v>0</v>
      </c>
      <c r="D150" s="63">
        <v>43831</v>
      </c>
      <c r="F150">
        <v>340052</v>
      </c>
      <c r="G150" t="s">
        <v>100</v>
      </c>
      <c r="I150" t="s">
        <v>101</v>
      </c>
      <c r="J150">
        <v>426433</v>
      </c>
      <c r="K150" t="s">
        <v>102</v>
      </c>
      <c r="L150">
        <v>96.48</v>
      </c>
      <c r="O150" t="s">
        <v>103</v>
      </c>
      <c r="S150" s="63">
        <v>46023</v>
      </c>
      <c r="T150" s="63">
        <v>46053.999305555553</v>
      </c>
      <c r="U150" t="s">
        <v>104</v>
      </c>
    </row>
    <row r="151" spans="1:21" x14ac:dyDescent="0.35">
      <c r="A151" t="s">
        <v>98</v>
      </c>
      <c r="B151" t="s">
        <v>106</v>
      </c>
      <c r="C151">
        <v>0</v>
      </c>
      <c r="D151" s="63">
        <v>43831</v>
      </c>
      <c r="F151">
        <v>340071</v>
      </c>
      <c r="G151" t="s">
        <v>100</v>
      </c>
      <c r="I151" t="s">
        <v>101</v>
      </c>
      <c r="J151">
        <v>426433</v>
      </c>
      <c r="K151" t="s">
        <v>102</v>
      </c>
      <c r="L151">
        <v>98.88</v>
      </c>
      <c r="O151" t="s">
        <v>103</v>
      </c>
      <c r="S151" s="63">
        <v>46023</v>
      </c>
      <c r="T151" s="63">
        <v>46053.999305555553</v>
      </c>
      <c r="U151" t="s">
        <v>104</v>
      </c>
    </row>
    <row r="152" spans="1:21" x14ac:dyDescent="0.35">
      <c r="A152" t="s">
        <v>98</v>
      </c>
      <c r="B152" t="s">
        <v>106</v>
      </c>
      <c r="C152">
        <v>0</v>
      </c>
      <c r="D152" s="63">
        <v>43831</v>
      </c>
      <c r="F152">
        <v>341891</v>
      </c>
      <c r="G152" t="s">
        <v>100</v>
      </c>
      <c r="I152" t="s">
        <v>101</v>
      </c>
      <c r="J152">
        <v>426433</v>
      </c>
      <c r="K152" t="s">
        <v>102</v>
      </c>
      <c r="L152">
        <v>86.4</v>
      </c>
      <c r="O152" t="s">
        <v>103</v>
      </c>
      <c r="S152" s="63">
        <v>46023</v>
      </c>
      <c r="T152" s="63">
        <v>46053.999305555553</v>
      </c>
      <c r="U152" t="s">
        <v>104</v>
      </c>
    </row>
    <row r="153" spans="1:21" x14ac:dyDescent="0.35">
      <c r="A153" t="s">
        <v>98</v>
      </c>
      <c r="B153" t="s">
        <v>106</v>
      </c>
      <c r="C153">
        <v>0</v>
      </c>
      <c r="D153" s="63">
        <v>43831</v>
      </c>
      <c r="F153">
        <v>341892</v>
      </c>
      <c r="G153" t="s">
        <v>100</v>
      </c>
      <c r="I153" t="s">
        <v>101</v>
      </c>
      <c r="J153">
        <v>426433</v>
      </c>
      <c r="K153" t="s">
        <v>102</v>
      </c>
      <c r="L153">
        <v>82.32</v>
      </c>
      <c r="O153" t="s">
        <v>103</v>
      </c>
      <c r="S153" s="63">
        <v>46023</v>
      </c>
      <c r="T153" s="63">
        <v>46053.999305555553</v>
      </c>
      <c r="U153" t="s">
        <v>104</v>
      </c>
    </row>
    <row r="154" spans="1:21" x14ac:dyDescent="0.35">
      <c r="A154" t="s">
        <v>98</v>
      </c>
      <c r="B154" t="s">
        <v>106</v>
      </c>
      <c r="C154">
        <v>0</v>
      </c>
      <c r="D154" s="63">
        <v>43831</v>
      </c>
      <c r="F154">
        <v>341894</v>
      </c>
      <c r="G154" t="s">
        <v>100</v>
      </c>
      <c r="I154" t="s">
        <v>101</v>
      </c>
      <c r="J154">
        <v>426433</v>
      </c>
      <c r="K154" t="s">
        <v>102</v>
      </c>
      <c r="L154">
        <v>76.8</v>
      </c>
      <c r="O154" t="s">
        <v>103</v>
      </c>
      <c r="S154" s="63">
        <v>46023</v>
      </c>
      <c r="T154" s="63">
        <v>46053.999305555553</v>
      </c>
      <c r="U154" t="s">
        <v>104</v>
      </c>
    </row>
    <row r="155" spans="1:21" x14ac:dyDescent="0.35">
      <c r="A155" t="s">
        <v>98</v>
      </c>
      <c r="B155" t="s">
        <v>106</v>
      </c>
      <c r="C155">
        <v>0</v>
      </c>
      <c r="D155" s="63">
        <v>43831</v>
      </c>
      <c r="F155">
        <v>341893</v>
      </c>
      <c r="G155" t="s">
        <v>100</v>
      </c>
      <c r="I155" t="s">
        <v>101</v>
      </c>
      <c r="J155">
        <v>426433</v>
      </c>
      <c r="K155" t="s">
        <v>102</v>
      </c>
      <c r="L155">
        <v>82.08</v>
      </c>
      <c r="O155" t="s">
        <v>103</v>
      </c>
      <c r="S155" s="63">
        <v>46023</v>
      </c>
      <c r="T155" s="63">
        <v>46053.999305555553</v>
      </c>
      <c r="U155" t="s">
        <v>104</v>
      </c>
    </row>
    <row r="156" spans="1:21" x14ac:dyDescent="0.35">
      <c r="A156" t="s">
        <v>98</v>
      </c>
      <c r="B156" t="s">
        <v>107</v>
      </c>
      <c r="C156">
        <v>0</v>
      </c>
      <c r="D156" s="63">
        <v>43831</v>
      </c>
      <c r="F156">
        <v>340013</v>
      </c>
      <c r="G156" t="s">
        <v>100</v>
      </c>
      <c r="I156" t="s">
        <v>101</v>
      </c>
      <c r="J156">
        <v>426433</v>
      </c>
      <c r="K156" t="s">
        <v>102</v>
      </c>
      <c r="L156">
        <v>777.6</v>
      </c>
      <c r="O156" t="s">
        <v>103</v>
      </c>
      <c r="S156" s="63">
        <v>46023</v>
      </c>
      <c r="T156" s="63">
        <v>46053.999305555553</v>
      </c>
      <c r="U156" t="s">
        <v>104</v>
      </c>
    </row>
    <row r="157" spans="1:21" x14ac:dyDescent="0.35">
      <c r="A157" t="s">
        <v>98</v>
      </c>
      <c r="B157" t="s">
        <v>107</v>
      </c>
      <c r="C157">
        <v>0</v>
      </c>
      <c r="D157" s="63">
        <v>43831</v>
      </c>
      <c r="F157">
        <v>340071</v>
      </c>
      <c r="G157" t="s">
        <v>100</v>
      </c>
      <c r="I157" t="s">
        <v>101</v>
      </c>
      <c r="J157">
        <v>426433</v>
      </c>
      <c r="K157" t="s">
        <v>102</v>
      </c>
      <c r="L157">
        <v>889.92</v>
      </c>
      <c r="O157" t="s">
        <v>103</v>
      </c>
      <c r="S157" s="63">
        <v>46023</v>
      </c>
      <c r="T157" s="63">
        <v>46053.999305555553</v>
      </c>
      <c r="U157" t="s">
        <v>104</v>
      </c>
    </row>
    <row r="158" spans="1:21" x14ac:dyDescent="0.35">
      <c r="A158" t="s">
        <v>98</v>
      </c>
      <c r="B158" t="s">
        <v>107</v>
      </c>
      <c r="C158">
        <v>0</v>
      </c>
      <c r="D158" s="63">
        <v>43831</v>
      </c>
      <c r="F158">
        <v>341893</v>
      </c>
      <c r="G158" t="s">
        <v>100</v>
      </c>
      <c r="I158" t="s">
        <v>101</v>
      </c>
      <c r="J158">
        <v>426433</v>
      </c>
      <c r="K158" t="s">
        <v>102</v>
      </c>
      <c r="L158">
        <v>738.72</v>
      </c>
      <c r="O158" t="s">
        <v>103</v>
      </c>
      <c r="S158" s="63">
        <v>46023</v>
      </c>
      <c r="T158" s="63">
        <v>46053.999305555553</v>
      </c>
      <c r="U158" t="s">
        <v>104</v>
      </c>
    </row>
    <row r="159" spans="1:21" x14ac:dyDescent="0.35">
      <c r="A159" t="s">
        <v>98</v>
      </c>
      <c r="B159" t="s">
        <v>55</v>
      </c>
      <c r="C159">
        <v>0</v>
      </c>
      <c r="D159" s="63">
        <v>43831</v>
      </c>
      <c r="F159">
        <v>350122</v>
      </c>
      <c r="G159" t="s">
        <v>100</v>
      </c>
      <c r="I159" t="s">
        <v>101</v>
      </c>
      <c r="J159">
        <v>426433</v>
      </c>
      <c r="K159" t="s">
        <v>102</v>
      </c>
      <c r="L159">
        <v>287.2</v>
      </c>
      <c r="O159" t="s">
        <v>103</v>
      </c>
      <c r="S159" s="63">
        <v>46023</v>
      </c>
      <c r="T159" s="63">
        <v>46053.999305555553</v>
      </c>
      <c r="U159" t="s">
        <v>104</v>
      </c>
    </row>
    <row r="160" spans="1:21" x14ac:dyDescent="0.35">
      <c r="A160" t="s">
        <v>98</v>
      </c>
      <c r="B160" t="s">
        <v>55</v>
      </c>
      <c r="C160">
        <v>0</v>
      </c>
      <c r="D160" s="63">
        <v>43831</v>
      </c>
      <c r="F160">
        <v>350123</v>
      </c>
      <c r="G160" t="s">
        <v>100</v>
      </c>
      <c r="I160" t="s">
        <v>101</v>
      </c>
      <c r="J160">
        <v>426433</v>
      </c>
      <c r="K160" t="s">
        <v>102</v>
      </c>
      <c r="L160">
        <v>276.8</v>
      </c>
      <c r="O160" t="s">
        <v>103</v>
      </c>
      <c r="S160" s="63">
        <v>46023</v>
      </c>
      <c r="T160" s="63">
        <v>46053.999305555553</v>
      </c>
      <c r="U160" t="s">
        <v>104</v>
      </c>
    </row>
    <row r="161" spans="1:21" x14ac:dyDescent="0.35">
      <c r="A161" t="s">
        <v>98</v>
      </c>
      <c r="B161" t="s">
        <v>55</v>
      </c>
      <c r="C161">
        <v>0</v>
      </c>
      <c r="D161" s="63">
        <v>43831</v>
      </c>
      <c r="F161">
        <v>351066</v>
      </c>
      <c r="G161" t="s">
        <v>100</v>
      </c>
      <c r="I161" t="s">
        <v>101</v>
      </c>
      <c r="J161">
        <v>426433</v>
      </c>
      <c r="K161" t="s">
        <v>102</v>
      </c>
      <c r="L161">
        <v>283.2</v>
      </c>
      <c r="O161" t="s">
        <v>103</v>
      </c>
      <c r="S161" s="63">
        <v>46023</v>
      </c>
      <c r="T161" s="63">
        <v>46053.999305555553</v>
      </c>
      <c r="U161" t="s">
        <v>104</v>
      </c>
    </row>
    <row r="162" spans="1:21" x14ac:dyDescent="0.35">
      <c r="A162" t="s">
        <v>98</v>
      </c>
      <c r="B162" t="s">
        <v>55</v>
      </c>
      <c r="C162">
        <v>0</v>
      </c>
      <c r="D162" s="63">
        <v>43831</v>
      </c>
      <c r="F162">
        <v>351067</v>
      </c>
      <c r="G162" t="s">
        <v>100</v>
      </c>
      <c r="I162" t="s">
        <v>101</v>
      </c>
      <c r="J162">
        <v>426433</v>
      </c>
      <c r="K162" t="s">
        <v>102</v>
      </c>
      <c r="L162">
        <v>271.2</v>
      </c>
      <c r="O162" t="s">
        <v>103</v>
      </c>
      <c r="S162" s="63">
        <v>46023</v>
      </c>
      <c r="T162" s="63">
        <v>46053.999305555553</v>
      </c>
      <c r="U162" t="s">
        <v>104</v>
      </c>
    </row>
    <row r="163" spans="1:21" x14ac:dyDescent="0.35">
      <c r="A163" t="s">
        <v>98</v>
      </c>
      <c r="B163" t="s">
        <v>55</v>
      </c>
      <c r="C163">
        <v>0</v>
      </c>
      <c r="D163" s="63">
        <v>43831</v>
      </c>
      <c r="F163">
        <v>351068</v>
      </c>
      <c r="G163" t="s">
        <v>100</v>
      </c>
      <c r="I163" t="s">
        <v>101</v>
      </c>
      <c r="J163">
        <v>426433</v>
      </c>
      <c r="K163" t="s">
        <v>102</v>
      </c>
      <c r="L163">
        <v>266.39999999999998</v>
      </c>
      <c r="O163" t="s">
        <v>103</v>
      </c>
      <c r="S163" s="63">
        <v>46023</v>
      </c>
      <c r="T163" s="63">
        <v>46053.999305555553</v>
      </c>
      <c r="U163" t="s">
        <v>104</v>
      </c>
    </row>
    <row r="164" spans="1:21" x14ac:dyDescent="0.35">
      <c r="A164" t="s">
        <v>98</v>
      </c>
      <c r="B164" t="s">
        <v>55</v>
      </c>
      <c r="C164">
        <v>0</v>
      </c>
      <c r="D164" s="63">
        <v>43831</v>
      </c>
      <c r="F164">
        <v>351069</v>
      </c>
      <c r="G164" t="s">
        <v>100</v>
      </c>
      <c r="I164" t="s">
        <v>101</v>
      </c>
      <c r="J164">
        <v>426433</v>
      </c>
      <c r="K164" t="s">
        <v>102</v>
      </c>
      <c r="L164">
        <v>255.2</v>
      </c>
      <c r="O164" t="s">
        <v>103</v>
      </c>
      <c r="S164" s="63">
        <v>46023</v>
      </c>
      <c r="T164" s="63">
        <v>46053.999305555553</v>
      </c>
      <c r="U164" t="s">
        <v>104</v>
      </c>
    </row>
    <row r="165" spans="1:21" x14ac:dyDescent="0.35">
      <c r="A165" t="s">
        <v>98</v>
      </c>
      <c r="B165" t="s">
        <v>55</v>
      </c>
      <c r="C165">
        <v>0</v>
      </c>
      <c r="D165" s="63">
        <v>43831</v>
      </c>
      <c r="F165">
        <v>350124</v>
      </c>
      <c r="G165" t="s">
        <v>100</v>
      </c>
      <c r="I165" t="s">
        <v>101</v>
      </c>
      <c r="J165">
        <v>426433</v>
      </c>
      <c r="K165" t="s">
        <v>102</v>
      </c>
      <c r="L165">
        <v>248.8</v>
      </c>
      <c r="O165" t="s">
        <v>103</v>
      </c>
      <c r="S165" s="63">
        <v>46023</v>
      </c>
      <c r="T165" s="63">
        <v>46053.999305555553</v>
      </c>
      <c r="U165" t="s">
        <v>104</v>
      </c>
    </row>
    <row r="166" spans="1:21" x14ac:dyDescent="0.35">
      <c r="D166" s="63"/>
      <c r="S166" s="63"/>
      <c r="T166" s="63"/>
    </row>
    <row r="167" spans="1:21" x14ac:dyDescent="0.35">
      <c r="D167" s="63"/>
      <c r="S167" s="63"/>
      <c r="T167" s="63"/>
    </row>
    <row r="168" spans="1:21" x14ac:dyDescent="0.35">
      <c r="D168" s="63"/>
      <c r="S168" s="63"/>
      <c r="T168" s="63"/>
    </row>
    <row r="169" spans="1:21" x14ac:dyDescent="0.35">
      <c r="D169" s="63"/>
      <c r="S169" s="63"/>
      <c r="T169" s="63"/>
    </row>
    <row r="170" spans="1:21" x14ac:dyDescent="0.35">
      <c r="D170" s="63"/>
      <c r="S170" s="63"/>
      <c r="T170" s="63"/>
    </row>
    <row r="171" spans="1:21" x14ac:dyDescent="0.35">
      <c r="D171" s="63"/>
      <c r="S171" s="63"/>
      <c r="T171" s="63"/>
    </row>
    <row r="172" spans="1:21" x14ac:dyDescent="0.35">
      <c r="D172" s="63"/>
      <c r="S172" s="63"/>
      <c r="T172" s="63"/>
    </row>
    <row r="173" spans="1:21" x14ac:dyDescent="0.35">
      <c r="D173" s="63"/>
      <c r="S173" s="63"/>
      <c r="T173" s="63"/>
    </row>
    <row r="174" spans="1:21" x14ac:dyDescent="0.35">
      <c r="D174" s="63"/>
      <c r="S174" s="63"/>
      <c r="T174" s="63"/>
    </row>
    <row r="175" spans="1:21" x14ac:dyDescent="0.35">
      <c r="D175" s="63"/>
      <c r="S175" s="63"/>
      <c r="T175" s="63"/>
    </row>
    <row r="176" spans="1:21" x14ac:dyDescent="0.35">
      <c r="D176" s="63"/>
      <c r="S176" s="63"/>
      <c r="T176" s="63"/>
    </row>
    <row r="177" spans="4:20" x14ac:dyDescent="0.35">
      <c r="D177" s="63"/>
      <c r="S177" s="63"/>
      <c r="T177" s="63"/>
    </row>
    <row r="178" spans="4:20" x14ac:dyDescent="0.35">
      <c r="D178" s="63"/>
      <c r="S178" s="63"/>
      <c r="T178" s="63"/>
    </row>
    <row r="179" spans="4:20" x14ac:dyDescent="0.35">
      <c r="D179" s="63"/>
      <c r="S179" s="63"/>
      <c r="T179" s="63"/>
    </row>
    <row r="180" spans="4:20" x14ac:dyDescent="0.35">
      <c r="D180" s="63"/>
      <c r="S180" s="63"/>
      <c r="T180" s="63"/>
    </row>
    <row r="181" spans="4:20" x14ac:dyDescent="0.35">
      <c r="D181" s="63"/>
      <c r="S181" s="63"/>
      <c r="T181" s="63"/>
    </row>
    <row r="182" spans="4:20" x14ac:dyDescent="0.35">
      <c r="D182" s="63"/>
      <c r="S182" s="63"/>
      <c r="T182" s="63"/>
    </row>
    <row r="183" spans="4:20" x14ac:dyDescent="0.35">
      <c r="D183" s="63"/>
      <c r="S183" s="63"/>
      <c r="T183" s="63"/>
    </row>
    <row r="184" spans="4:20" x14ac:dyDescent="0.35">
      <c r="D184" s="63"/>
      <c r="S184" s="63"/>
      <c r="T184" s="63"/>
    </row>
    <row r="185" spans="4:20" x14ac:dyDescent="0.35">
      <c r="D185" s="63"/>
      <c r="S185" s="63"/>
      <c r="T185" s="63"/>
    </row>
    <row r="186" spans="4:20" x14ac:dyDescent="0.35">
      <c r="D186" s="63"/>
      <c r="S186" s="63"/>
      <c r="T186" s="63"/>
    </row>
    <row r="187" spans="4:20" x14ac:dyDescent="0.35">
      <c r="D187" s="63"/>
      <c r="S187" s="63"/>
      <c r="T187" s="63"/>
    </row>
    <row r="188" spans="4:20" x14ac:dyDescent="0.35">
      <c r="D188" s="63"/>
      <c r="S188" s="63"/>
      <c r="T188" s="63"/>
    </row>
    <row r="189" spans="4:20" x14ac:dyDescent="0.35">
      <c r="D189" s="63"/>
      <c r="S189" s="63"/>
      <c r="T189" s="63"/>
    </row>
    <row r="190" spans="4:20" x14ac:dyDescent="0.35">
      <c r="D190" s="63"/>
      <c r="S190" s="63"/>
      <c r="T190" s="63"/>
    </row>
    <row r="191" spans="4:20" x14ac:dyDescent="0.35">
      <c r="D191" s="63"/>
      <c r="S191" s="63"/>
      <c r="T191" s="63"/>
    </row>
    <row r="192" spans="4:20" x14ac:dyDescent="0.35">
      <c r="D192" s="63"/>
      <c r="S192" s="63"/>
      <c r="T192" s="63"/>
    </row>
    <row r="193" spans="4:20" x14ac:dyDescent="0.35">
      <c r="D193" s="63"/>
      <c r="S193" s="63"/>
      <c r="T193" s="63"/>
    </row>
    <row r="194" spans="4:20" x14ac:dyDescent="0.35">
      <c r="D194" s="63"/>
      <c r="S194" s="63"/>
      <c r="T194" s="63"/>
    </row>
    <row r="195" spans="4:20" x14ac:dyDescent="0.35">
      <c r="D195" s="63"/>
      <c r="S195" s="63"/>
      <c r="T195" s="63"/>
    </row>
    <row r="196" spans="4:20" x14ac:dyDescent="0.35">
      <c r="D196" s="63"/>
      <c r="S196" s="63"/>
      <c r="T196" s="63"/>
    </row>
    <row r="197" spans="4:20" x14ac:dyDescent="0.35">
      <c r="D197" s="63"/>
      <c r="S197" s="63"/>
      <c r="T197" s="63"/>
    </row>
    <row r="198" spans="4:20" x14ac:dyDescent="0.35">
      <c r="D198" s="63"/>
      <c r="S198" s="63"/>
      <c r="T198" s="63"/>
    </row>
    <row r="199" spans="4:20" x14ac:dyDescent="0.35">
      <c r="D199" s="63"/>
      <c r="S199" s="63"/>
      <c r="T199" s="63"/>
    </row>
    <row r="200" spans="4:20" x14ac:dyDescent="0.35">
      <c r="D200" s="63"/>
      <c r="S200" s="63"/>
      <c r="T200" s="63"/>
    </row>
    <row r="201" spans="4:20" x14ac:dyDescent="0.35">
      <c r="D201" s="63"/>
      <c r="S201" s="63"/>
      <c r="T201" s="63"/>
    </row>
    <row r="202" spans="4:20" x14ac:dyDescent="0.35">
      <c r="D202" s="63"/>
      <c r="S202" s="63"/>
      <c r="T202" s="63"/>
    </row>
    <row r="203" spans="4:20" x14ac:dyDescent="0.35">
      <c r="D203" s="63"/>
      <c r="S203" s="63"/>
      <c r="T203" s="63"/>
    </row>
    <row r="204" spans="4:20" x14ac:dyDescent="0.35">
      <c r="D204" s="63"/>
      <c r="S204" s="63"/>
      <c r="T204" s="63"/>
    </row>
    <row r="205" spans="4:20" x14ac:dyDescent="0.35">
      <c r="D205" s="63"/>
      <c r="S205" s="63"/>
      <c r="T205" s="63"/>
    </row>
    <row r="206" spans="4:20" x14ac:dyDescent="0.35">
      <c r="D206" s="63"/>
      <c r="S206" s="63"/>
      <c r="T206" s="63"/>
    </row>
    <row r="207" spans="4:20" x14ac:dyDescent="0.35">
      <c r="D207" s="63"/>
      <c r="S207" s="63"/>
      <c r="T207" s="63"/>
    </row>
    <row r="208" spans="4:20" x14ac:dyDescent="0.35">
      <c r="D208" s="63"/>
      <c r="S208" s="63"/>
      <c r="T208" s="63"/>
    </row>
    <row r="209" spans="4:20" x14ac:dyDescent="0.35">
      <c r="D209" s="63"/>
      <c r="S209" s="63"/>
      <c r="T209" s="63"/>
    </row>
    <row r="210" spans="4:20" x14ac:dyDescent="0.35">
      <c r="D210" s="63"/>
      <c r="S210" s="63"/>
      <c r="T210" s="63"/>
    </row>
    <row r="211" spans="4:20" x14ac:dyDescent="0.35">
      <c r="D211" s="63"/>
      <c r="S211" s="63"/>
      <c r="T211" s="63"/>
    </row>
    <row r="212" spans="4:20" x14ac:dyDescent="0.35">
      <c r="D212" s="63"/>
      <c r="S212" s="63"/>
      <c r="T212" s="63"/>
    </row>
    <row r="213" spans="4:20" x14ac:dyDescent="0.35">
      <c r="D213" s="63"/>
      <c r="S213" s="63"/>
      <c r="T213" s="63"/>
    </row>
    <row r="214" spans="4:20" x14ac:dyDescent="0.35">
      <c r="D214" s="63"/>
      <c r="S214" s="63"/>
      <c r="T214" s="63"/>
    </row>
    <row r="215" spans="4:20" x14ac:dyDescent="0.35">
      <c r="D215" s="63"/>
      <c r="S215" s="63"/>
      <c r="T215" s="63"/>
    </row>
    <row r="216" spans="4:20" x14ac:dyDescent="0.35">
      <c r="D216" s="63"/>
      <c r="S216" s="63"/>
      <c r="T216" s="63"/>
    </row>
    <row r="217" spans="4:20" x14ac:dyDescent="0.35">
      <c r="D217" s="63"/>
      <c r="S217" s="63"/>
      <c r="T217" s="63"/>
    </row>
    <row r="218" spans="4:20" x14ac:dyDescent="0.35">
      <c r="D218" s="63"/>
      <c r="S218" s="63"/>
      <c r="T218" s="63"/>
    </row>
    <row r="219" spans="4:20" x14ac:dyDescent="0.35">
      <c r="D219" s="63"/>
      <c r="S219" s="63"/>
      <c r="T219" s="63"/>
    </row>
    <row r="220" spans="4:20" x14ac:dyDescent="0.35">
      <c r="D220" s="63"/>
      <c r="S220" s="63"/>
      <c r="T220" s="63"/>
    </row>
    <row r="221" spans="4:20" x14ac:dyDescent="0.35">
      <c r="D221" s="63"/>
      <c r="S221" s="63"/>
      <c r="T221" s="63"/>
    </row>
    <row r="222" spans="4:20" x14ac:dyDescent="0.35">
      <c r="D222" s="63"/>
      <c r="S222" s="63"/>
      <c r="T222" s="63"/>
    </row>
    <row r="223" spans="4:20" x14ac:dyDescent="0.35">
      <c r="D223" s="63"/>
      <c r="S223" s="63"/>
      <c r="T223" s="63"/>
    </row>
    <row r="224" spans="4:20" x14ac:dyDescent="0.35">
      <c r="D224" s="63"/>
      <c r="S224" s="63"/>
      <c r="T224" s="63"/>
    </row>
    <row r="225" spans="4:20" x14ac:dyDescent="0.35">
      <c r="D225" s="63"/>
      <c r="S225" s="63"/>
      <c r="T225" s="63"/>
    </row>
    <row r="226" spans="4:20" x14ac:dyDescent="0.35">
      <c r="D226" s="63"/>
      <c r="S226" s="63"/>
      <c r="T226" s="63"/>
    </row>
    <row r="227" spans="4:20" x14ac:dyDescent="0.35">
      <c r="D227" s="63"/>
      <c r="S227" s="63"/>
      <c r="T227" s="63"/>
    </row>
    <row r="228" spans="4:20" x14ac:dyDescent="0.35">
      <c r="D228" s="63"/>
      <c r="S228" s="63"/>
      <c r="T228" s="63"/>
    </row>
    <row r="229" spans="4:20" x14ac:dyDescent="0.35">
      <c r="D229" s="63"/>
      <c r="S229" s="63"/>
      <c r="T229" s="63"/>
    </row>
    <row r="230" spans="4:20" x14ac:dyDescent="0.35">
      <c r="D230" s="63"/>
      <c r="S230" s="63"/>
      <c r="T230" s="63"/>
    </row>
    <row r="231" spans="4:20" x14ac:dyDescent="0.35">
      <c r="D231" s="63"/>
      <c r="S231" s="63"/>
      <c r="T231" s="63"/>
    </row>
    <row r="232" spans="4:20" x14ac:dyDescent="0.35">
      <c r="D232" s="63"/>
      <c r="S232" s="63"/>
      <c r="T232" s="63"/>
    </row>
    <row r="233" spans="4:20" x14ac:dyDescent="0.35">
      <c r="D233" s="63"/>
      <c r="S233" s="63"/>
      <c r="T233" s="63"/>
    </row>
    <row r="234" spans="4:20" x14ac:dyDescent="0.35">
      <c r="D234" s="63"/>
      <c r="S234" s="63"/>
      <c r="T234" s="63"/>
    </row>
    <row r="235" spans="4:20" x14ac:dyDescent="0.35">
      <c r="D235" s="63"/>
      <c r="S235" s="63"/>
      <c r="T235" s="63"/>
    </row>
    <row r="236" spans="4:20" x14ac:dyDescent="0.35">
      <c r="D236" s="63"/>
      <c r="S236" s="63"/>
      <c r="T236" s="63"/>
    </row>
    <row r="237" spans="4:20" x14ac:dyDescent="0.35">
      <c r="D237" s="63"/>
      <c r="S237" s="63"/>
      <c r="T237" s="63"/>
    </row>
    <row r="238" spans="4:20" x14ac:dyDescent="0.35">
      <c r="D238" s="63"/>
      <c r="S238" s="63"/>
      <c r="T238" s="63"/>
    </row>
    <row r="239" spans="4:20" x14ac:dyDescent="0.35">
      <c r="D239" s="63"/>
      <c r="S239" s="63"/>
      <c r="T239" s="63"/>
    </row>
    <row r="240" spans="4:20" x14ac:dyDescent="0.35">
      <c r="D240" s="63"/>
      <c r="S240" s="63"/>
      <c r="T240" s="63"/>
    </row>
    <row r="241" spans="4:20" x14ac:dyDescent="0.35">
      <c r="D241" s="63"/>
      <c r="S241" s="63"/>
      <c r="T241" s="63"/>
    </row>
    <row r="242" spans="4:20" x14ac:dyDescent="0.35">
      <c r="D242" s="63"/>
      <c r="S242" s="63"/>
      <c r="T242" s="63"/>
    </row>
    <row r="243" spans="4:20" x14ac:dyDescent="0.35">
      <c r="D243" s="63"/>
      <c r="S243" s="63"/>
      <c r="T243" s="63"/>
    </row>
    <row r="244" spans="4:20" x14ac:dyDescent="0.35">
      <c r="D244" s="63"/>
      <c r="S244" s="63"/>
      <c r="T244" s="63"/>
    </row>
    <row r="245" spans="4:20" x14ac:dyDescent="0.35">
      <c r="D245" s="63"/>
      <c r="S245" s="63"/>
      <c r="T245" s="63"/>
    </row>
    <row r="246" spans="4:20" x14ac:dyDescent="0.35">
      <c r="D246" s="63"/>
      <c r="S246" s="63"/>
      <c r="T246" s="63"/>
    </row>
    <row r="247" spans="4:20" x14ac:dyDescent="0.35">
      <c r="D247" s="63"/>
      <c r="S247" s="63"/>
      <c r="T247" s="63"/>
    </row>
    <row r="248" spans="4:20" x14ac:dyDescent="0.35">
      <c r="D248" s="63"/>
      <c r="S248" s="63"/>
      <c r="T248" s="63"/>
    </row>
    <row r="249" spans="4:20" x14ac:dyDescent="0.35">
      <c r="D249" s="63"/>
      <c r="S249" s="63"/>
      <c r="T249" s="63"/>
    </row>
    <row r="250" spans="4:20" x14ac:dyDescent="0.35">
      <c r="D250" s="63"/>
      <c r="S250" s="63"/>
      <c r="T250" s="63"/>
    </row>
    <row r="251" spans="4:20" x14ac:dyDescent="0.35">
      <c r="D251" s="63"/>
      <c r="S251" s="63"/>
      <c r="T251" s="63"/>
    </row>
    <row r="252" spans="4:20" x14ac:dyDescent="0.35">
      <c r="D252" s="63"/>
      <c r="S252" s="63"/>
      <c r="T252" s="63"/>
    </row>
    <row r="253" spans="4:20" x14ac:dyDescent="0.35">
      <c r="D253" s="63"/>
      <c r="S253" s="63"/>
      <c r="T253" s="63"/>
    </row>
    <row r="254" spans="4:20" x14ac:dyDescent="0.35">
      <c r="D254" s="63"/>
      <c r="S254" s="63"/>
      <c r="T254" s="63"/>
    </row>
    <row r="255" spans="4:20" x14ac:dyDescent="0.35">
      <c r="D255" s="63"/>
      <c r="S255" s="63"/>
      <c r="T255" s="63"/>
    </row>
    <row r="256" spans="4:20" x14ac:dyDescent="0.35">
      <c r="D256" s="63"/>
      <c r="S256" s="63"/>
      <c r="T256" s="63"/>
    </row>
    <row r="257" spans="4:20" x14ac:dyDescent="0.35">
      <c r="D257" s="63"/>
      <c r="S257" s="63"/>
      <c r="T257" s="63"/>
    </row>
    <row r="258" spans="4:20" x14ac:dyDescent="0.35">
      <c r="D258" s="63"/>
      <c r="S258" s="63"/>
      <c r="T258" s="63"/>
    </row>
    <row r="259" spans="4:20" x14ac:dyDescent="0.35">
      <c r="D259" s="63"/>
      <c r="S259" s="63"/>
      <c r="T259" s="63"/>
    </row>
    <row r="260" spans="4:20" x14ac:dyDescent="0.35">
      <c r="D260" s="63"/>
      <c r="S260" s="63"/>
      <c r="T260" s="63"/>
    </row>
    <row r="261" spans="4:20" x14ac:dyDescent="0.35">
      <c r="D261" s="63"/>
      <c r="S261" s="63"/>
      <c r="T261" s="63"/>
    </row>
    <row r="262" spans="4:20" x14ac:dyDescent="0.35">
      <c r="D262" s="63"/>
      <c r="S262" s="63"/>
      <c r="T262" s="63"/>
    </row>
    <row r="263" spans="4:20" x14ac:dyDescent="0.35">
      <c r="D263" s="63"/>
      <c r="S263" s="63"/>
      <c r="T263" s="63"/>
    </row>
    <row r="264" spans="4:20" x14ac:dyDescent="0.35">
      <c r="D264" s="63"/>
      <c r="S264" s="63"/>
      <c r="T264" s="63"/>
    </row>
    <row r="265" spans="4:20" x14ac:dyDescent="0.35">
      <c r="D265" s="63"/>
      <c r="S265" s="63"/>
      <c r="T265" s="63"/>
    </row>
    <row r="266" spans="4:20" x14ac:dyDescent="0.35">
      <c r="D266" s="63"/>
      <c r="S266" s="63"/>
      <c r="T266" s="63"/>
    </row>
    <row r="267" spans="4:20" x14ac:dyDescent="0.35">
      <c r="D267" s="63"/>
      <c r="S267" s="63"/>
      <c r="T267" s="63"/>
    </row>
    <row r="268" spans="4:20" x14ac:dyDescent="0.35">
      <c r="D268" s="63"/>
      <c r="S268" s="63"/>
      <c r="T268" s="63"/>
    </row>
    <row r="269" spans="4:20" x14ac:dyDescent="0.35">
      <c r="D269" s="63"/>
      <c r="S269" s="63"/>
      <c r="T269" s="63"/>
    </row>
    <row r="270" spans="4:20" x14ac:dyDescent="0.35">
      <c r="D270" s="63"/>
      <c r="S270" s="63"/>
      <c r="T270" s="63"/>
    </row>
    <row r="271" spans="4:20" x14ac:dyDescent="0.35">
      <c r="D271" s="63"/>
      <c r="S271" s="63"/>
      <c r="T271" s="63"/>
    </row>
    <row r="272" spans="4:20" x14ac:dyDescent="0.35">
      <c r="D272" s="63"/>
      <c r="S272" s="63"/>
      <c r="T272" s="63"/>
    </row>
    <row r="273" spans="4:20" x14ac:dyDescent="0.35">
      <c r="D273" s="63"/>
      <c r="S273" s="63"/>
      <c r="T273" s="63"/>
    </row>
    <row r="274" spans="4:20" x14ac:dyDescent="0.35">
      <c r="D274" s="63"/>
      <c r="S274" s="63"/>
      <c r="T274" s="63"/>
    </row>
    <row r="275" spans="4:20" x14ac:dyDescent="0.35">
      <c r="D275" s="63"/>
      <c r="S275" s="63"/>
      <c r="T275" s="63"/>
    </row>
    <row r="276" spans="4:20" x14ac:dyDescent="0.35">
      <c r="D276" s="63"/>
      <c r="S276" s="63"/>
      <c r="T276" s="63"/>
    </row>
    <row r="277" spans="4:20" x14ac:dyDescent="0.35">
      <c r="D277" s="63"/>
      <c r="S277" s="63"/>
      <c r="T277" s="63"/>
    </row>
    <row r="278" spans="4:20" x14ac:dyDescent="0.35">
      <c r="D278" s="63"/>
      <c r="S278" s="63"/>
      <c r="T278" s="63"/>
    </row>
    <row r="279" spans="4:20" x14ac:dyDescent="0.35">
      <c r="D279" s="63"/>
      <c r="S279" s="63"/>
      <c r="T279" s="63"/>
    </row>
    <row r="280" spans="4:20" x14ac:dyDescent="0.35">
      <c r="D280" s="63"/>
      <c r="S280" s="63"/>
      <c r="T280" s="63"/>
    </row>
    <row r="281" spans="4:20" x14ac:dyDescent="0.35">
      <c r="D281" s="63"/>
      <c r="S281" s="63"/>
      <c r="T281" s="63"/>
    </row>
    <row r="282" spans="4:20" x14ac:dyDescent="0.35">
      <c r="D282" s="63"/>
      <c r="S282" s="63"/>
      <c r="T282" s="63"/>
    </row>
    <row r="283" spans="4:20" x14ac:dyDescent="0.35">
      <c r="D283" s="63"/>
      <c r="S283" s="63"/>
      <c r="T283" s="63"/>
    </row>
    <row r="284" spans="4:20" x14ac:dyDescent="0.35">
      <c r="D284" s="63"/>
      <c r="S284" s="63"/>
      <c r="T284" s="63"/>
    </row>
    <row r="285" spans="4:20" x14ac:dyDescent="0.35">
      <c r="D285" s="63"/>
      <c r="S285" s="63"/>
      <c r="T285" s="63"/>
    </row>
    <row r="286" spans="4:20" x14ac:dyDescent="0.35">
      <c r="D286" s="63"/>
      <c r="S286" s="63"/>
      <c r="T286" s="63"/>
    </row>
    <row r="287" spans="4:20" x14ac:dyDescent="0.35">
      <c r="D287" s="63"/>
      <c r="S287" s="63"/>
      <c r="T287" s="63"/>
    </row>
    <row r="288" spans="4:20" x14ac:dyDescent="0.35">
      <c r="D288" s="63"/>
      <c r="S288" s="63"/>
      <c r="T288" s="63"/>
    </row>
    <row r="289" spans="4:20" x14ac:dyDescent="0.35">
      <c r="D289" s="63"/>
      <c r="S289" s="63"/>
      <c r="T289" s="63"/>
    </row>
    <row r="290" spans="4:20" x14ac:dyDescent="0.35">
      <c r="D290" s="63"/>
      <c r="S290" s="63"/>
      <c r="T290" s="63"/>
    </row>
    <row r="291" spans="4:20" x14ac:dyDescent="0.35">
      <c r="D291" s="63"/>
      <c r="S291" s="63"/>
      <c r="T291" s="63"/>
    </row>
    <row r="292" spans="4:20" x14ac:dyDescent="0.35">
      <c r="D292" s="63"/>
      <c r="S292" s="63"/>
      <c r="T292" s="63"/>
    </row>
    <row r="293" spans="4:20" x14ac:dyDescent="0.35">
      <c r="D293" s="63"/>
      <c r="S293" s="63"/>
      <c r="T293" s="63"/>
    </row>
    <row r="294" spans="4:20" x14ac:dyDescent="0.35">
      <c r="D294" s="63"/>
      <c r="S294" s="63"/>
      <c r="T294" s="63"/>
    </row>
    <row r="295" spans="4:20" x14ac:dyDescent="0.35">
      <c r="D295" s="63"/>
      <c r="S295" s="63"/>
      <c r="T295" s="63"/>
    </row>
    <row r="296" spans="4:20" x14ac:dyDescent="0.35">
      <c r="D296" s="63"/>
      <c r="S296" s="63"/>
      <c r="T296" s="63"/>
    </row>
    <row r="297" spans="4:20" x14ac:dyDescent="0.35">
      <c r="D297" s="63"/>
      <c r="S297" s="63"/>
      <c r="T297" s="63"/>
    </row>
    <row r="298" spans="4:20" x14ac:dyDescent="0.35">
      <c r="D298" s="63"/>
      <c r="S298" s="63"/>
      <c r="T298" s="63"/>
    </row>
    <row r="299" spans="4:20" x14ac:dyDescent="0.35">
      <c r="D299" s="63"/>
      <c r="S299" s="63"/>
      <c r="T299" s="63"/>
    </row>
    <row r="300" spans="4:20" x14ac:dyDescent="0.35">
      <c r="D300" s="63"/>
      <c r="S300" s="63"/>
      <c r="T300" s="63"/>
    </row>
    <row r="301" spans="4:20" x14ac:dyDescent="0.35">
      <c r="D301" s="63"/>
      <c r="S301" s="63"/>
      <c r="T301" s="63"/>
    </row>
    <row r="302" spans="4:20" x14ac:dyDescent="0.35">
      <c r="D302" s="63"/>
      <c r="S302" s="63"/>
      <c r="T302" s="63"/>
    </row>
    <row r="303" spans="4:20" x14ac:dyDescent="0.35">
      <c r="D303" s="63"/>
      <c r="S303" s="63"/>
      <c r="T303" s="63"/>
    </row>
    <row r="304" spans="4:20" x14ac:dyDescent="0.35">
      <c r="D304" s="63"/>
      <c r="S304" s="63"/>
      <c r="T304" s="63"/>
    </row>
    <row r="305" spans="4:20" x14ac:dyDescent="0.35">
      <c r="D305" s="63"/>
      <c r="S305" s="63"/>
      <c r="T305" s="63"/>
    </row>
    <row r="306" spans="4:20" x14ac:dyDescent="0.35">
      <c r="D306" s="63"/>
      <c r="S306" s="63"/>
      <c r="T306" s="63"/>
    </row>
    <row r="307" spans="4:20" x14ac:dyDescent="0.35">
      <c r="D307" s="63"/>
      <c r="S307" s="63"/>
      <c r="T307" s="63"/>
    </row>
    <row r="308" spans="4:20" x14ac:dyDescent="0.35">
      <c r="D308" s="63"/>
      <c r="S308" s="63"/>
      <c r="T308" s="63"/>
    </row>
    <row r="309" spans="4:20" x14ac:dyDescent="0.35">
      <c r="D309" s="63"/>
      <c r="S309" s="63"/>
      <c r="T309" s="63"/>
    </row>
    <row r="310" spans="4:20" x14ac:dyDescent="0.35">
      <c r="D310" s="63"/>
      <c r="S310" s="63"/>
      <c r="T310" s="63"/>
    </row>
    <row r="311" spans="4:20" x14ac:dyDescent="0.35">
      <c r="D311" s="63"/>
      <c r="S311" s="63"/>
      <c r="T311" s="63"/>
    </row>
    <row r="312" spans="4:20" x14ac:dyDescent="0.35">
      <c r="D312" s="63"/>
      <c r="S312" s="63"/>
      <c r="T312" s="63"/>
    </row>
    <row r="313" spans="4:20" x14ac:dyDescent="0.35">
      <c r="D313" s="63"/>
      <c r="S313" s="63"/>
      <c r="T313" s="63"/>
    </row>
    <row r="314" spans="4:20" x14ac:dyDescent="0.35">
      <c r="D314" s="63"/>
      <c r="S314" s="63"/>
      <c r="T314" s="63"/>
    </row>
    <row r="315" spans="4:20" x14ac:dyDescent="0.35">
      <c r="D315" s="63"/>
      <c r="S315" s="63"/>
      <c r="T315" s="63"/>
    </row>
    <row r="316" spans="4:20" x14ac:dyDescent="0.35">
      <c r="D316" s="63"/>
      <c r="S316" s="63"/>
      <c r="T316" s="63"/>
    </row>
    <row r="317" spans="4:20" x14ac:dyDescent="0.35">
      <c r="D317" s="63"/>
      <c r="S317" s="63"/>
      <c r="T317" s="63"/>
    </row>
    <row r="318" spans="4:20" x14ac:dyDescent="0.35">
      <c r="D318" s="63"/>
      <c r="S318" s="63"/>
      <c r="T318" s="63"/>
    </row>
    <row r="319" spans="4:20" x14ac:dyDescent="0.35">
      <c r="D319" s="63"/>
      <c r="S319" s="63"/>
      <c r="T319" s="63"/>
    </row>
    <row r="320" spans="4:20" x14ac:dyDescent="0.35">
      <c r="D320" s="63"/>
      <c r="S320" s="63"/>
      <c r="T320" s="63"/>
    </row>
    <row r="321" spans="4:20" x14ac:dyDescent="0.35">
      <c r="D321" s="63"/>
      <c r="S321" s="63"/>
      <c r="T321" s="63"/>
    </row>
    <row r="322" spans="4:20" x14ac:dyDescent="0.35">
      <c r="D322" s="63"/>
      <c r="S322" s="63"/>
      <c r="T322" s="63"/>
    </row>
    <row r="323" spans="4:20" x14ac:dyDescent="0.35">
      <c r="D323" s="63"/>
      <c r="S323" s="63"/>
      <c r="T323" s="63"/>
    </row>
    <row r="324" spans="4:20" x14ac:dyDescent="0.35">
      <c r="D324" s="63"/>
      <c r="S324" s="63"/>
      <c r="T324" s="63"/>
    </row>
    <row r="325" spans="4:20" x14ac:dyDescent="0.35">
      <c r="D325" s="63"/>
      <c r="S325" s="63"/>
      <c r="T325" s="63"/>
    </row>
    <row r="326" spans="4:20" x14ac:dyDescent="0.35">
      <c r="D326" s="63"/>
      <c r="S326" s="63"/>
      <c r="T326" s="63"/>
    </row>
    <row r="327" spans="4:20" x14ac:dyDescent="0.35">
      <c r="D327" s="63"/>
      <c r="S327" s="63"/>
      <c r="T327" s="63"/>
    </row>
    <row r="328" spans="4:20" x14ac:dyDescent="0.35">
      <c r="D328" s="63"/>
      <c r="S328" s="63"/>
      <c r="T328" s="63"/>
    </row>
    <row r="329" spans="4:20" x14ac:dyDescent="0.35">
      <c r="D329" s="63"/>
      <c r="S329" s="63"/>
      <c r="T329" s="63"/>
    </row>
    <row r="330" spans="4:20" x14ac:dyDescent="0.35">
      <c r="D330" s="63"/>
      <c r="S330" s="63"/>
      <c r="T330" s="63"/>
    </row>
    <row r="331" spans="4:20" x14ac:dyDescent="0.35">
      <c r="D331" s="63"/>
      <c r="S331" s="63"/>
      <c r="T331" s="63"/>
    </row>
    <row r="332" spans="4:20" x14ac:dyDescent="0.35">
      <c r="D332" s="63"/>
      <c r="S332" s="63"/>
      <c r="T332" s="63"/>
    </row>
    <row r="333" spans="4:20" x14ac:dyDescent="0.35">
      <c r="D333" s="63"/>
      <c r="S333" s="63"/>
      <c r="T333" s="63"/>
    </row>
    <row r="334" spans="4:20" x14ac:dyDescent="0.35">
      <c r="D334" s="63"/>
      <c r="S334" s="63"/>
      <c r="T334" s="63"/>
    </row>
    <row r="335" spans="4:20" x14ac:dyDescent="0.35">
      <c r="D335" s="63"/>
      <c r="S335" s="63"/>
      <c r="T335" s="63"/>
    </row>
    <row r="336" spans="4:20" x14ac:dyDescent="0.35">
      <c r="D336" s="63"/>
      <c r="S336" s="63"/>
      <c r="T336" s="63"/>
    </row>
    <row r="337" spans="4:20" x14ac:dyDescent="0.35">
      <c r="D337" s="63"/>
      <c r="S337" s="63"/>
      <c r="T337" s="63"/>
    </row>
    <row r="338" spans="4:20" x14ac:dyDescent="0.35">
      <c r="D338" s="63"/>
      <c r="S338" s="63"/>
      <c r="T338" s="63"/>
    </row>
    <row r="339" spans="4:20" x14ac:dyDescent="0.35">
      <c r="D339" s="63"/>
      <c r="S339" s="63"/>
      <c r="T339" s="63"/>
    </row>
    <row r="340" spans="4:20" x14ac:dyDescent="0.35">
      <c r="D340" s="63"/>
      <c r="S340" s="63"/>
      <c r="T340" s="63"/>
    </row>
    <row r="341" spans="4:20" x14ac:dyDescent="0.35">
      <c r="D341" s="63"/>
      <c r="S341" s="63"/>
      <c r="T341" s="63"/>
    </row>
    <row r="342" spans="4:20" x14ac:dyDescent="0.35">
      <c r="D342" s="63"/>
      <c r="S342" s="63"/>
      <c r="T342" s="63"/>
    </row>
    <row r="343" spans="4:20" x14ac:dyDescent="0.35">
      <c r="D343" s="63"/>
      <c r="S343" s="63"/>
      <c r="T343" s="63"/>
    </row>
    <row r="344" spans="4:20" x14ac:dyDescent="0.35">
      <c r="D344" s="63"/>
      <c r="S344" s="63"/>
      <c r="T344" s="63"/>
    </row>
    <row r="345" spans="4:20" x14ac:dyDescent="0.35">
      <c r="D345" s="63"/>
      <c r="S345" s="63"/>
      <c r="T345" s="63"/>
    </row>
    <row r="346" spans="4:20" x14ac:dyDescent="0.35">
      <c r="D346" s="63"/>
      <c r="S346" s="63"/>
      <c r="T346" s="63"/>
    </row>
    <row r="347" spans="4:20" x14ac:dyDescent="0.35">
      <c r="D347" s="63"/>
      <c r="S347" s="63"/>
      <c r="T347" s="63"/>
    </row>
    <row r="348" spans="4:20" x14ac:dyDescent="0.35">
      <c r="D348" s="63"/>
      <c r="S348" s="63"/>
      <c r="T348" s="63"/>
    </row>
    <row r="349" spans="4:20" x14ac:dyDescent="0.35">
      <c r="D349" s="63"/>
      <c r="S349" s="63"/>
      <c r="T349" s="63"/>
    </row>
    <row r="350" spans="4:20" x14ac:dyDescent="0.35">
      <c r="D350" s="63"/>
      <c r="S350" s="63"/>
      <c r="T350" s="63"/>
    </row>
    <row r="351" spans="4:20" x14ac:dyDescent="0.35">
      <c r="D351" s="63"/>
      <c r="S351" s="63"/>
      <c r="T351" s="63"/>
    </row>
    <row r="352" spans="4:20" x14ac:dyDescent="0.35">
      <c r="D352" s="63"/>
      <c r="S352" s="63"/>
      <c r="T352" s="63"/>
    </row>
    <row r="353" spans="4:20" x14ac:dyDescent="0.35">
      <c r="D353" s="63"/>
      <c r="S353" s="63"/>
      <c r="T353" s="63"/>
    </row>
    <row r="354" spans="4:20" x14ac:dyDescent="0.35">
      <c r="D354" s="63"/>
      <c r="S354" s="63"/>
      <c r="T354" s="63"/>
    </row>
    <row r="355" spans="4:20" x14ac:dyDescent="0.35">
      <c r="D355" s="63"/>
      <c r="S355" s="63"/>
      <c r="T355" s="63"/>
    </row>
    <row r="356" spans="4:20" x14ac:dyDescent="0.35">
      <c r="D356" s="63"/>
      <c r="S356" s="63"/>
      <c r="T356" s="63"/>
    </row>
    <row r="357" spans="4:20" x14ac:dyDescent="0.35">
      <c r="D357" s="63"/>
      <c r="S357" s="63"/>
      <c r="T357" s="63"/>
    </row>
    <row r="358" spans="4:20" x14ac:dyDescent="0.35">
      <c r="D358" s="63"/>
      <c r="S358" s="63"/>
      <c r="T358" s="63"/>
    </row>
    <row r="359" spans="4:20" x14ac:dyDescent="0.35">
      <c r="D359" s="63"/>
      <c r="S359" s="63"/>
      <c r="T359" s="63"/>
    </row>
    <row r="360" spans="4:20" x14ac:dyDescent="0.35">
      <c r="D360" s="63"/>
      <c r="S360" s="63"/>
      <c r="T360" s="63"/>
    </row>
    <row r="361" spans="4:20" x14ac:dyDescent="0.35">
      <c r="D361" s="63"/>
      <c r="S361" s="63"/>
      <c r="T361" s="63"/>
    </row>
    <row r="362" spans="4:20" x14ac:dyDescent="0.35">
      <c r="D362" s="63"/>
      <c r="S362" s="63"/>
      <c r="T362" s="63"/>
    </row>
    <row r="363" spans="4:20" x14ac:dyDescent="0.35">
      <c r="D363" s="63"/>
      <c r="S363" s="63"/>
      <c r="T363" s="63"/>
    </row>
    <row r="364" spans="4:20" x14ac:dyDescent="0.35">
      <c r="D364" s="63"/>
      <c r="S364" s="63"/>
      <c r="T364" s="63"/>
    </row>
    <row r="365" spans="4:20" x14ac:dyDescent="0.35">
      <c r="D365" s="63"/>
      <c r="S365" s="63"/>
      <c r="T365" s="63"/>
    </row>
    <row r="366" spans="4:20" x14ac:dyDescent="0.35">
      <c r="D366" s="63"/>
      <c r="S366" s="63"/>
      <c r="T366" s="63"/>
    </row>
    <row r="367" spans="4:20" x14ac:dyDescent="0.35">
      <c r="D367" s="63"/>
      <c r="S367" s="63"/>
      <c r="T367" s="63"/>
    </row>
    <row r="368" spans="4:20" x14ac:dyDescent="0.35">
      <c r="D368" s="63"/>
      <c r="S368" s="63"/>
      <c r="T368" s="63"/>
    </row>
    <row r="369" spans="4:20" x14ac:dyDescent="0.35">
      <c r="D369" s="63"/>
      <c r="S369" s="63"/>
      <c r="T369" s="63"/>
    </row>
    <row r="370" spans="4:20" x14ac:dyDescent="0.35">
      <c r="D370" s="63"/>
      <c r="S370" s="63"/>
      <c r="T370" s="63"/>
    </row>
    <row r="371" spans="4:20" x14ac:dyDescent="0.35">
      <c r="D371" s="63"/>
      <c r="S371" s="63"/>
      <c r="T371" s="63"/>
    </row>
    <row r="372" spans="4:20" x14ac:dyDescent="0.35">
      <c r="D372" s="63"/>
      <c r="S372" s="63"/>
      <c r="T372" s="63"/>
    </row>
    <row r="373" spans="4:20" x14ac:dyDescent="0.35">
      <c r="D373" s="63"/>
      <c r="S373" s="63"/>
      <c r="T373" s="63"/>
    </row>
    <row r="374" spans="4:20" x14ac:dyDescent="0.35">
      <c r="D374" s="63"/>
      <c r="S374" s="63"/>
      <c r="T374" s="63"/>
    </row>
    <row r="375" spans="4:20" x14ac:dyDescent="0.35">
      <c r="D375" s="63"/>
      <c r="S375" s="63"/>
      <c r="T375" s="63"/>
    </row>
    <row r="376" spans="4:20" x14ac:dyDescent="0.35">
      <c r="D376" s="63"/>
      <c r="S376" s="63"/>
      <c r="T376" s="63"/>
    </row>
    <row r="377" spans="4:20" x14ac:dyDescent="0.35">
      <c r="D377" s="63"/>
      <c r="S377" s="63"/>
      <c r="T377" s="63"/>
    </row>
    <row r="378" spans="4:20" x14ac:dyDescent="0.35">
      <c r="D378" s="63"/>
      <c r="S378" s="63"/>
      <c r="T378" s="63"/>
    </row>
    <row r="379" spans="4:20" x14ac:dyDescent="0.35">
      <c r="D379" s="63"/>
      <c r="S379" s="63"/>
      <c r="T379" s="63"/>
    </row>
    <row r="380" spans="4:20" x14ac:dyDescent="0.35">
      <c r="D380" s="63"/>
      <c r="S380" s="63"/>
      <c r="T380" s="63"/>
    </row>
    <row r="381" spans="4:20" x14ac:dyDescent="0.35">
      <c r="D381" s="63"/>
      <c r="S381" s="63"/>
      <c r="T381" s="63"/>
    </row>
    <row r="382" spans="4:20" x14ac:dyDescent="0.35">
      <c r="D382" s="63"/>
      <c r="S382" s="63"/>
      <c r="T382" s="63"/>
    </row>
    <row r="383" spans="4:20" x14ac:dyDescent="0.35">
      <c r="D383" s="63"/>
      <c r="S383" s="63"/>
      <c r="T383" s="63"/>
    </row>
    <row r="384" spans="4:20" x14ac:dyDescent="0.35">
      <c r="D384" s="63"/>
      <c r="S384" s="63"/>
      <c r="T384" s="63"/>
    </row>
    <row r="385" spans="4:20" x14ac:dyDescent="0.35">
      <c r="D385" s="63"/>
      <c r="S385" s="63"/>
      <c r="T385" s="63"/>
    </row>
    <row r="386" spans="4:20" x14ac:dyDescent="0.35">
      <c r="D386" s="63"/>
      <c r="S386" s="63"/>
      <c r="T386" s="63"/>
    </row>
    <row r="387" spans="4:20" x14ac:dyDescent="0.35">
      <c r="D387" s="63"/>
      <c r="S387" s="63"/>
      <c r="T387" s="63"/>
    </row>
    <row r="388" spans="4:20" x14ac:dyDescent="0.35">
      <c r="D388" s="63"/>
      <c r="S388" s="63"/>
      <c r="T388" s="63"/>
    </row>
    <row r="389" spans="4:20" x14ac:dyDescent="0.35">
      <c r="D389" s="63"/>
      <c r="S389" s="63"/>
      <c r="T389" s="63"/>
    </row>
    <row r="390" spans="4:20" x14ac:dyDescent="0.35">
      <c r="D390" s="63"/>
      <c r="S390" s="63"/>
      <c r="T390" s="63"/>
    </row>
    <row r="391" spans="4:20" x14ac:dyDescent="0.35">
      <c r="D391" s="63"/>
      <c r="S391" s="63"/>
      <c r="T391" s="63"/>
    </row>
    <row r="392" spans="4:20" x14ac:dyDescent="0.35">
      <c r="D392" s="63"/>
      <c r="S392" s="63"/>
      <c r="T392" s="63"/>
    </row>
    <row r="393" spans="4:20" x14ac:dyDescent="0.35">
      <c r="D393" s="63"/>
      <c r="S393" s="63"/>
      <c r="T393" s="63"/>
    </row>
    <row r="394" spans="4:20" x14ac:dyDescent="0.35">
      <c r="D394" s="63"/>
      <c r="S394" s="63"/>
      <c r="T394" s="63"/>
    </row>
    <row r="395" spans="4:20" x14ac:dyDescent="0.35">
      <c r="D395" s="63"/>
      <c r="S395" s="63"/>
      <c r="T395" s="63"/>
    </row>
    <row r="396" spans="4:20" x14ac:dyDescent="0.35">
      <c r="D396" s="63"/>
      <c r="S396" s="63"/>
      <c r="T396" s="63"/>
    </row>
    <row r="397" spans="4:20" x14ac:dyDescent="0.35">
      <c r="D397" s="63"/>
      <c r="S397" s="63"/>
      <c r="T397" s="63"/>
    </row>
    <row r="398" spans="4:20" x14ac:dyDescent="0.35">
      <c r="D398" s="63"/>
      <c r="S398" s="63"/>
      <c r="T398" s="63"/>
    </row>
    <row r="399" spans="4:20" x14ac:dyDescent="0.35">
      <c r="D399" s="63"/>
      <c r="S399" s="63"/>
      <c r="T399" s="63"/>
    </row>
    <row r="400" spans="4:20" x14ac:dyDescent="0.35">
      <c r="D400" s="63"/>
      <c r="S400" s="63"/>
      <c r="T400" s="63"/>
    </row>
    <row r="401" spans="4:20" x14ac:dyDescent="0.35">
      <c r="D401" s="63"/>
      <c r="S401" s="63"/>
      <c r="T401" s="63"/>
    </row>
    <row r="402" spans="4:20" x14ac:dyDescent="0.35">
      <c r="D402" s="63"/>
      <c r="S402" s="63"/>
      <c r="T402" s="63"/>
    </row>
    <row r="403" spans="4:20" x14ac:dyDescent="0.35">
      <c r="D403" s="63"/>
      <c r="S403" s="63"/>
      <c r="T403" s="63"/>
    </row>
    <row r="404" spans="4:20" x14ac:dyDescent="0.35">
      <c r="D404" s="63"/>
      <c r="S404" s="63"/>
      <c r="T404" s="63"/>
    </row>
    <row r="405" spans="4:20" x14ac:dyDescent="0.35">
      <c r="D405" s="63"/>
      <c r="S405" s="63"/>
      <c r="T405" s="63"/>
    </row>
    <row r="406" spans="4:20" x14ac:dyDescent="0.35">
      <c r="D406" s="63"/>
      <c r="S406" s="63"/>
      <c r="T406" s="63"/>
    </row>
    <row r="407" spans="4:20" x14ac:dyDescent="0.35">
      <c r="D407" s="63"/>
      <c r="S407" s="63"/>
      <c r="T407" s="63"/>
    </row>
    <row r="408" spans="4:20" x14ac:dyDescent="0.35">
      <c r="D408" s="63"/>
      <c r="S408" s="63"/>
      <c r="T408" s="63"/>
    </row>
    <row r="409" spans="4:20" x14ac:dyDescent="0.35">
      <c r="D409" s="63"/>
      <c r="S409" s="63"/>
      <c r="T409" s="63"/>
    </row>
    <row r="410" spans="4:20" x14ac:dyDescent="0.35">
      <c r="D410" s="63"/>
      <c r="S410" s="63"/>
      <c r="T410" s="63"/>
    </row>
    <row r="411" spans="4:20" x14ac:dyDescent="0.35">
      <c r="D411" s="63"/>
      <c r="S411" s="63"/>
      <c r="T411" s="63"/>
    </row>
    <row r="412" spans="4:20" x14ac:dyDescent="0.35">
      <c r="D412" s="63"/>
      <c r="S412" s="63"/>
      <c r="T412" s="63"/>
    </row>
    <row r="413" spans="4:20" x14ac:dyDescent="0.35">
      <c r="D413" s="63"/>
      <c r="S413" s="63"/>
      <c r="T413" s="63"/>
    </row>
    <row r="414" spans="4:20" x14ac:dyDescent="0.35">
      <c r="D414" s="63"/>
      <c r="S414" s="63"/>
      <c r="T414" s="63"/>
    </row>
    <row r="415" spans="4:20" x14ac:dyDescent="0.35">
      <c r="D415" s="63"/>
      <c r="S415" s="63"/>
      <c r="T415" s="63"/>
    </row>
    <row r="416" spans="4:20" x14ac:dyDescent="0.35">
      <c r="D416" s="63"/>
      <c r="S416" s="63"/>
      <c r="T416" s="63"/>
    </row>
    <row r="417" spans="4:20" x14ac:dyDescent="0.35">
      <c r="D417" s="63"/>
      <c r="S417" s="63"/>
      <c r="T417" s="63"/>
    </row>
    <row r="418" spans="4:20" x14ac:dyDescent="0.35">
      <c r="D418" s="63"/>
      <c r="S418" s="63"/>
      <c r="T418" s="63"/>
    </row>
    <row r="419" spans="4:20" x14ac:dyDescent="0.35">
      <c r="D419" s="63"/>
      <c r="S419" s="63"/>
      <c r="T419" s="63"/>
    </row>
    <row r="420" spans="4:20" x14ac:dyDescent="0.35">
      <c r="D420" s="63"/>
      <c r="S420" s="63"/>
      <c r="T420" s="63"/>
    </row>
    <row r="421" spans="4:20" x14ac:dyDescent="0.35">
      <c r="D421" s="63"/>
      <c r="S421" s="63"/>
      <c r="T421" s="63"/>
    </row>
    <row r="422" spans="4:20" x14ac:dyDescent="0.35">
      <c r="D422" s="63"/>
      <c r="S422" s="63"/>
      <c r="T422" s="63"/>
    </row>
    <row r="423" spans="4:20" x14ac:dyDescent="0.35">
      <c r="D423" s="63"/>
      <c r="S423" s="63"/>
      <c r="T423" s="63"/>
    </row>
    <row r="424" spans="4:20" x14ac:dyDescent="0.35">
      <c r="D424" s="63"/>
      <c r="S424" s="63"/>
      <c r="T424" s="63"/>
    </row>
    <row r="425" spans="4:20" x14ac:dyDescent="0.35">
      <c r="D425" s="63"/>
      <c r="S425" s="63"/>
      <c r="T425" s="63"/>
    </row>
    <row r="426" spans="4:20" x14ac:dyDescent="0.35">
      <c r="D426" s="63"/>
      <c r="S426" s="63"/>
      <c r="T426" s="63"/>
    </row>
    <row r="427" spans="4:20" x14ac:dyDescent="0.35">
      <c r="D427" s="63"/>
      <c r="S427" s="63"/>
      <c r="T427" s="63"/>
    </row>
    <row r="428" spans="4:20" x14ac:dyDescent="0.35">
      <c r="D428" s="63"/>
      <c r="S428" s="63"/>
      <c r="T428" s="63"/>
    </row>
    <row r="429" spans="4:20" x14ac:dyDescent="0.35">
      <c r="D429" s="63"/>
      <c r="S429" s="63"/>
      <c r="T429" s="63"/>
    </row>
    <row r="430" spans="4:20" x14ac:dyDescent="0.35">
      <c r="D430" s="63"/>
      <c r="S430" s="63"/>
      <c r="T430" s="63"/>
    </row>
    <row r="431" spans="4:20" x14ac:dyDescent="0.35">
      <c r="D431" s="63"/>
      <c r="S431" s="63"/>
      <c r="T431" s="63"/>
    </row>
    <row r="432" spans="4:20" x14ac:dyDescent="0.35">
      <c r="D432" s="63"/>
      <c r="S432" s="63"/>
      <c r="T432" s="63"/>
    </row>
    <row r="433" spans="4:20" x14ac:dyDescent="0.35">
      <c r="D433" s="63"/>
      <c r="S433" s="63"/>
      <c r="T433" s="63"/>
    </row>
    <row r="434" spans="4:20" x14ac:dyDescent="0.35">
      <c r="D434" s="63"/>
      <c r="S434" s="63"/>
      <c r="T434" s="63"/>
    </row>
    <row r="435" spans="4:20" x14ac:dyDescent="0.35">
      <c r="D435" s="63"/>
      <c r="S435" s="63"/>
      <c r="T435" s="63"/>
    </row>
    <row r="436" spans="4:20" x14ac:dyDescent="0.35">
      <c r="D436" s="63"/>
      <c r="S436" s="63"/>
      <c r="T436" s="63"/>
    </row>
    <row r="437" spans="4:20" x14ac:dyDescent="0.35">
      <c r="D437" s="63"/>
      <c r="S437" s="63"/>
      <c r="T437" s="63"/>
    </row>
    <row r="438" spans="4:20" x14ac:dyDescent="0.35">
      <c r="D438" s="63"/>
      <c r="S438" s="63"/>
      <c r="T438" s="63"/>
    </row>
    <row r="439" spans="4:20" x14ac:dyDescent="0.35">
      <c r="D439" s="63"/>
      <c r="S439" s="63"/>
      <c r="T439" s="63"/>
    </row>
    <row r="440" spans="4:20" x14ac:dyDescent="0.35">
      <c r="D440" s="63"/>
      <c r="S440" s="63"/>
      <c r="T440" s="63"/>
    </row>
    <row r="441" spans="4:20" x14ac:dyDescent="0.35">
      <c r="D441" s="63"/>
      <c r="S441" s="63"/>
      <c r="T441" s="63"/>
    </row>
    <row r="442" spans="4:20" x14ac:dyDescent="0.35">
      <c r="D442" s="63"/>
      <c r="S442" s="63"/>
      <c r="T442" s="63"/>
    </row>
    <row r="443" spans="4:20" x14ac:dyDescent="0.35">
      <c r="D443" s="63"/>
      <c r="S443" s="63"/>
      <c r="T443" s="63"/>
    </row>
    <row r="444" spans="4:20" x14ac:dyDescent="0.35">
      <c r="D444" s="63"/>
      <c r="S444" s="63"/>
      <c r="T444" s="63"/>
    </row>
    <row r="445" spans="4:20" x14ac:dyDescent="0.35">
      <c r="D445" s="63"/>
      <c r="S445" s="63"/>
      <c r="T445" s="63"/>
    </row>
    <row r="446" spans="4:20" x14ac:dyDescent="0.35">
      <c r="D446" s="63"/>
      <c r="S446" s="63"/>
      <c r="T446" s="63"/>
    </row>
    <row r="447" spans="4:20" x14ac:dyDescent="0.35">
      <c r="D447" s="63"/>
      <c r="S447" s="63"/>
      <c r="T447" s="63"/>
    </row>
    <row r="448" spans="4:20" x14ac:dyDescent="0.35">
      <c r="D448" s="63"/>
      <c r="S448" s="63"/>
      <c r="T448" s="63"/>
    </row>
    <row r="449" spans="4:20" x14ac:dyDescent="0.35">
      <c r="D449" s="63"/>
      <c r="S449" s="63"/>
      <c r="T449" s="63"/>
    </row>
    <row r="450" spans="4:20" x14ac:dyDescent="0.35">
      <c r="D450" s="63"/>
      <c r="S450" s="63"/>
      <c r="T450" s="63"/>
    </row>
    <row r="451" spans="4:20" x14ac:dyDescent="0.35">
      <c r="D451" s="63"/>
      <c r="S451" s="63"/>
      <c r="T451" s="63"/>
    </row>
    <row r="452" spans="4:20" x14ac:dyDescent="0.35">
      <c r="D452" s="63"/>
      <c r="S452" s="63"/>
      <c r="T452" s="63"/>
    </row>
    <row r="453" spans="4:20" x14ac:dyDescent="0.35">
      <c r="D453" s="63"/>
      <c r="S453" s="63"/>
      <c r="T453" s="63"/>
    </row>
    <row r="454" spans="4:20" x14ac:dyDescent="0.35">
      <c r="D454" s="63"/>
      <c r="S454" s="63"/>
      <c r="T454" s="63"/>
    </row>
    <row r="455" spans="4:20" x14ac:dyDescent="0.35">
      <c r="D455" s="63"/>
      <c r="S455" s="63"/>
      <c r="T455" s="63"/>
    </row>
    <row r="456" spans="4:20" x14ac:dyDescent="0.35">
      <c r="D456" s="63"/>
      <c r="S456" s="63"/>
      <c r="T456" s="63"/>
    </row>
    <row r="457" spans="4:20" x14ac:dyDescent="0.35">
      <c r="D457" s="63"/>
      <c r="S457" s="63"/>
      <c r="T457" s="63"/>
    </row>
    <row r="458" spans="4:20" x14ac:dyDescent="0.35">
      <c r="D458" s="63"/>
      <c r="S458" s="63"/>
      <c r="T458" s="63"/>
    </row>
    <row r="459" spans="4:20" x14ac:dyDescent="0.35">
      <c r="D459" s="63"/>
      <c r="S459" s="63"/>
      <c r="T459" s="63"/>
    </row>
    <row r="460" spans="4:20" x14ac:dyDescent="0.35">
      <c r="D460" s="63"/>
      <c r="S460" s="63"/>
      <c r="T460" s="63"/>
    </row>
    <row r="461" spans="4:20" x14ac:dyDescent="0.35">
      <c r="D461" s="63"/>
      <c r="S461" s="63"/>
      <c r="T461" s="63"/>
    </row>
    <row r="462" spans="4:20" x14ac:dyDescent="0.35">
      <c r="D462" s="63"/>
      <c r="S462" s="63"/>
      <c r="T462" s="63"/>
    </row>
    <row r="463" spans="4:20" x14ac:dyDescent="0.35">
      <c r="D463" s="63"/>
      <c r="S463" s="63"/>
      <c r="T463" s="63"/>
    </row>
    <row r="464" spans="4:20" x14ac:dyDescent="0.35">
      <c r="D464" s="63"/>
      <c r="S464" s="63"/>
      <c r="T464" s="63"/>
    </row>
    <row r="465" spans="4:20" x14ac:dyDescent="0.35">
      <c r="D465" s="63"/>
      <c r="S465" s="63"/>
      <c r="T465" s="63"/>
    </row>
    <row r="466" spans="4:20" x14ac:dyDescent="0.35">
      <c r="D466" s="63"/>
      <c r="S466" s="63"/>
      <c r="T466" s="63"/>
    </row>
    <row r="467" spans="4:20" x14ac:dyDescent="0.35">
      <c r="D467" s="63"/>
      <c r="S467" s="63"/>
      <c r="T467" s="63"/>
    </row>
    <row r="468" spans="4:20" x14ac:dyDescent="0.35">
      <c r="D468" s="63"/>
      <c r="S468" s="63"/>
      <c r="T468" s="63"/>
    </row>
    <row r="469" spans="4:20" x14ac:dyDescent="0.35">
      <c r="D469" s="63"/>
      <c r="S469" s="63"/>
      <c r="T469" s="63"/>
    </row>
    <row r="470" spans="4:20" x14ac:dyDescent="0.35">
      <c r="D470" s="63"/>
      <c r="S470" s="63"/>
      <c r="T470" s="63"/>
    </row>
    <row r="471" spans="4:20" x14ac:dyDescent="0.35">
      <c r="D471" s="63"/>
      <c r="S471" s="63"/>
      <c r="T471" s="63"/>
    </row>
    <row r="472" spans="4:20" x14ac:dyDescent="0.35">
      <c r="D472" s="63"/>
      <c r="S472" s="63"/>
      <c r="T472" s="63"/>
    </row>
    <row r="473" spans="4:20" x14ac:dyDescent="0.35">
      <c r="D473" s="63"/>
      <c r="S473" s="63"/>
      <c r="T473" s="63"/>
    </row>
    <row r="474" spans="4:20" x14ac:dyDescent="0.35">
      <c r="D474" s="63"/>
      <c r="S474" s="63"/>
      <c r="T474" s="63"/>
    </row>
    <row r="475" spans="4:20" x14ac:dyDescent="0.35">
      <c r="D475" s="63"/>
      <c r="S475" s="63"/>
      <c r="T475" s="63"/>
    </row>
    <row r="476" spans="4:20" x14ac:dyDescent="0.35">
      <c r="D476" s="63"/>
      <c r="S476" s="63"/>
      <c r="T476" s="63"/>
    </row>
    <row r="477" spans="4:20" x14ac:dyDescent="0.35">
      <c r="D477" s="63"/>
      <c r="S477" s="63"/>
      <c r="T477" s="63"/>
    </row>
    <row r="478" spans="4:20" x14ac:dyDescent="0.35">
      <c r="D478" s="63"/>
      <c r="S478" s="63"/>
      <c r="T478" s="63"/>
    </row>
    <row r="479" spans="4:20" x14ac:dyDescent="0.35">
      <c r="D479" s="63"/>
      <c r="S479" s="63"/>
      <c r="T479" s="63"/>
    </row>
    <row r="480" spans="4:20" x14ac:dyDescent="0.35">
      <c r="D480" s="63"/>
      <c r="S480" s="63"/>
      <c r="T480" s="63"/>
    </row>
    <row r="481" spans="4:20" x14ac:dyDescent="0.35">
      <c r="D481" s="63"/>
      <c r="S481" s="63"/>
      <c r="T481" s="63"/>
    </row>
    <row r="482" spans="4:20" x14ac:dyDescent="0.35">
      <c r="D482" s="63"/>
      <c r="S482" s="63"/>
      <c r="T482" s="63"/>
    </row>
    <row r="483" spans="4:20" x14ac:dyDescent="0.35">
      <c r="D483" s="63"/>
      <c r="S483" s="63"/>
      <c r="T483" s="63"/>
    </row>
    <row r="484" spans="4:20" x14ac:dyDescent="0.35">
      <c r="D484" s="63"/>
      <c r="S484" s="63"/>
      <c r="T484" s="63"/>
    </row>
    <row r="485" spans="4:20" x14ac:dyDescent="0.35">
      <c r="D485" s="63"/>
      <c r="S485" s="63"/>
      <c r="T485" s="63"/>
    </row>
    <row r="486" spans="4:20" x14ac:dyDescent="0.35">
      <c r="D486" s="63"/>
      <c r="S486" s="63"/>
      <c r="T486" s="63"/>
    </row>
    <row r="487" spans="4:20" x14ac:dyDescent="0.35">
      <c r="D487" s="63"/>
      <c r="S487" s="63"/>
      <c r="T487" s="63"/>
    </row>
    <row r="488" spans="4:20" x14ac:dyDescent="0.35">
      <c r="D488" s="63"/>
      <c r="S488" s="63"/>
      <c r="T488" s="63"/>
    </row>
    <row r="489" spans="4:20" x14ac:dyDescent="0.35">
      <c r="D489" s="63"/>
      <c r="S489" s="63"/>
      <c r="T489" s="63"/>
    </row>
    <row r="490" spans="4:20" x14ac:dyDescent="0.35">
      <c r="D490" s="63"/>
      <c r="S490" s="63"/>
      <c r="T490" s="63"/>
    </row>
    <row r="491" spans="4:20" x14ac:dyDescent="0.35">
      <c r="D491" s="63"/>
      <c r="S491" s="63"/>
      <c r="T491" s="63"/>
    </row>
    <row r="492" spans="4:20" x14ac:dyDescent="0.35">
      <c r="D492" s="63"/>
      <c r="S492" s="63"/>
      <c r="T492" s="63"/>
    </row>
    <row r="493" spans="4:20" x14ac:dyDescent="0.35">
      <c r="D493" s="63"/>
      <c r="S493" s="63"/>
      <c r="T493" s="63"/>
    </row>
    <row r="494" spans="4:20" x14ac:dyDescent="0.35">
      <c r="D494" s="63"/>
      <c r="S494" s="63"/>
      <c r="T494" s="63"/>
    </row>
    <row r="495" spans="4:20" x14ac:dyDescent="0.35">
      <c r="D495" s="63"/>
      <c r="S495" s="63"/>
      <c r="T495" s="63"/>
    </row>
    <row r="496" spans="4:20" x14ac:dyDescent="0.35">
      <c r="D496" s="63"/>
      <c r="S496" s="63"/>
      <c r="T496" s="63"/>
    </row>
    <row r="497" spans="4:20" x14ac:dyDescent="0.35">
      <c r="D497" s="63"/>
      <c r="S497" s="63"/>
      <c r="T497" s="63"/>
    </row>
    <row r="498" spans="4:20" x14ac:dyDescent="0.35">
      <c r="D498" s="63"/>
      <c r="S498" s="63"/>
      <c r="T498" s="63"/>
    </row>
    <row r="499" spans="4:20" x14ac:dyDescent="0.35">
      <c r="D499" s="63"/>
      <c r="S499" s="63"/>
      <c r="T499" s="63"/>
    </row>
    <row r="500" spans="4:20" x14ac:dyDescent="0.35">
      <c r="D500" s="63"/>
      <c r="S500" s="63"/>
      <c r="T500" s="63"/>
    </row>
    <row r="501" spans="4:20" x14ac:dyDescent="0.35">
      <c r="D501" s="63"/>
      <c r="S501" s="63"/>
      <c r="T501" s="63"/>
    </row>
    <row r="502" spans="4:20" x14ac:dyDescent="0.35">
      <c r="D502" s="63"/>
      <c r="S502" s="63"/>
      <c r="T502" s="63"/>
    </row>
    <row r="503" spans="4:20" x14ac:dyDescent="0.35">
      <c r="D503" s="63"/>
      <c r="S503" s="63"/>
      <c r="T503" s="63"/>
    </row>
    <row r="504" spans="4:20" x14ac:dyDescent="0.35">
      <c r="D504" s="63"/>
      <c r="S504" s="63"/>
      <c r="T504" s="63"/>
    </row>
    <row r="505" spans="4:20" x14ac:dyDescent="0.35">
      <c r="D505" s="63"/>
      <c r="S505" s="63"/>
      <c r="T505" s="63"/>
    </row>
    <row r="506" spans="4:20" x14ac:dyDescent="0.35">
      <c r="D506" s="63"/>
      <c r="S506" s="63"/>
      <c r="T506" s="63"/>
    </row>
    <row r="507" spans="4:20" x14ac:dyDescent="0.35">
      <c r="D507" s="63"/>
      <c r="S507" s="63"/>
      <c r="T507" s="63"/>
    </row>
    <row r="508" spans="4:20" x14ac:dyDescent="0.35">
      <c r="D508" s="63"/>
      <c r="S508" s="63"/>
      <c r="T508" s="63"/>
    </row>
    <row r="509" spans="4:20" x14ac:dyDescent="0.35">
      <c r="D509" s="63"/>
      <c r="S509" s="63"/>
      <c r="T509" s="63"/>
    </row>
    <row r="510" spans="4:20" x14ac:dyDescent="0.35">
      <c r="D510" s="63"/>
      <c r="S510" s="63"/>
      <c r="T510" s="63"/>
    </row>
    <row r="511" spans="4:20" x14ac:dyDescent="0.35">
      <c r="D511" s="63"/>
      <c r="S511" s="63"/>
      <c r="T511" s="63"/>
    </row>
    <row r="512" spans="4:20" x14ac:dyDescent="0.35">
      <c r="D512" s="63"/>
      <c r="S512" s="63"/>
      <c r="T512" s="63"/>
    </row>
    <row r="513" spans="4:20" x14ac:dyDescent="0.35">
      <c r="D513" s="63"/>
      <c r="S513" s="63"/>
      <c r="T513" s="63"/>
    </row>
    <row r="514" spans="4:20" x14ac:dyDescent="0.35">
      <c r="D514" s="63"/>
      <c r="S514" s="63"/>
      <c r="T514" s="63"/>
    </row>
    <row r="515" spans="4:20" x14ac:dyDescent="0.35">
      <c r="D515" s="63"/>
      <c r="S515" s="63"/>
      <c r="T515" s="63"/>
    </row>
    <row r="516" spans="4:20" x14ac:dyDescent="0.35">
      <c r="D516" s="63"/>
      <c r="S516" s="63"/>
      <c r="T516" s="63"/>
    </row>
    <row r="517" spans="4:20" x14ac:dyDescent="0.35">
      <c r="D517" s="63"/>
      <c r="S517" s="63"/>
      <c r="T517" s="63"/>
    </row>
    <row r="518" spans="4:20" x14ac:dyDescent="0.35">
      <c r="D518" s="63"/>
      <c r="S518" s="63"/>
      <c r="T518" s="63"/>
    </row>
    <row r="519" spans="4:20" x14ac:dyDescent="0.35">
      <c r="D519" s="63"/>
      <c r="S519" s="63"/>
      <c r="T519" s="63"/>
    </row>
    <row r="520" spans="4:20" x14ac:dyDescent="0.35">
      <c r="D520" s="63"/>
      <c r="S520" s="63"/>
      <c r="T520" s="63"/>
    </row>
    <row r="521" spans="4:20" x14ac:dyDescent="0.35">
      <c r="D521" s="63"/>
      <c r="S521" s="63"/>
      <c r="T521" s="63"/>
    </row>
    <row r="522" spans="4:20" x14ac:dyDescent="0.35">
      <c r="D522" s="63"/>
      <c r="S522" s="63"/>
      <c r="T522" s="63"/>
    </row>
    <row r="523" spans="4:20" x14ac:dyDescent="0.35">
      <c r="D523" s="63"/>
      <c r="S523" s="63"/>
      <c r="T523" s="63"/>
    </row>
    <row r="524" spans="4:20" x14ac:dyDescent="0.35">
      <c r="D524" s="63"/>
      <c r="S524" s="63"/>
      <c r="T524" s="63"/>
    </row>
    <row r="525" spans="4:20" x14ac:dyDescent="0.35">
      <c r="D525" s="63"/>
      <c r="S525" s="63"/>
      <c r="T525" s="63"/>
    </row>
    <row r="526" spans="4:20" x14ac:dyDescent="0.35">
      <c r="D526" s="63"/>
      <c r="S526" s="63"/>
      <c r="T526" s="63"/>
    </row>
    <row r="527" spans="4:20" x14ac:dyDescent="0.35">
      <c r="D527" s="63"/>
      <c r="S527" s="63"/>
      <c r="T527" s="63"/>
    </row>
    <row r="528" spans="4:20" x14ac:dyDescent="0.35">
      <c r="D528" s="63"/>
      <c r="S528" s="63"/>
      <c r="T528" s="63"/>
    </row>
    <row r="529" spans="4:20" x14ac:dyDescent="0.35">
      <c r="D529" s="63"/>
      <c r="S529" s="63"/>
      <c r="T529" s="63"/>
    </row>
    <row r="530" spans="4:20" x14ac:dyDescent="0.35">
      <c r="D530" s="63"/>
      <c r="S530" s="63"/>
      <c r="T530" s="63"/>
    </row>
    <row r="531" spans="4:20" x14ac:dyDescent="0.35">
      <c r="D531" s="63"/>
      <c r="S531" s="63"/>
      <c r="T531" s="63"/>
    </row>
    <row r="532" spans="4:20" x14ac:dyDescent="0.35">
      <c r="D532" s="63"/>
      <c r="S532" s="63"/>
      <c r="T532" s="63"/>
    </row>
    <row r="533" spans="4:20" x14ac:dyDescent="0.35">
      <c r="D533" s="63"/>
      <c r="S533" s="63"/>
      <c r="T533" s="63"/>
    </row>
    <row r="534" spans="4:20" x14ac:dyDescent="0.35">
      <c r="D534" s="63"/>
      <c r="S534" s="63"/>
      <c r="T534" s="63"/>
    </row>
    <row r="535" spans="4:20" x14ac:dyDescent="0.35">
      <c r="D535" s="63"/>
      <c r="S535" s="63"/>
      <c r="T535" s="63"/>
    </row>
    <row r="536" spans="4:20" x14ac:dyDescent="0.35">
      <c r="D536" s="63"/>
      <c r="S536" s="63"/>
      <c r="T536" s="63"/>
    </row>
    <row r="537" spans="4:20" x14ac:dyDescent="0.35">
      <c r="D537" s="63"/>
      <c r="S537" s="63"/>
      <c r="T537" s="63"/>
    </row>
    <row r="538" spans="4:20" x14ac:dyDescent="0.35">
      <c r="D538" s="63"/>
      <c r="S538" s="63"/>
      <c r="T538" s="63"/>
    </row>
    <row r="539" spans="4:20" x14ac:dyDescent="0.35">
      <c r="D539" s="63"/>
      <c r="S539" s="63"/>
      <c r="T539" s="63"/>
    </row>
    <row r="540" spans="4:20" x14ac:dyDescent="0.35">
      <c r="D540" s="63"/>
      <c r="S540" s="63"/>
      <c r="T540" s="63"/>
    </row>
    <row r="541" spans="4:20" x14ac:dyDescent="0.35">
      <c r="D541" s="63"/>
      <c r="S541" s="63"/>
      <c r="T541" s="63"/>
    </row>
    <row r="542" spans="4:20" x14ac:dyDescent="0.35">
      <c r="D542" s="63"/>
      <c r="S542" s="63"/>
      <c r="T542" s="63"/>
    </row>
    <row r="543" spans="4:20" x14ac:dyDescent="0.35">
      <c r="D543" s="63"/>
      <c r="S543" s="63"/>
      <c r="T543" s="63"/>
    </row>
    <row r="544" spans="4:20" x14ac:dyDescent="0.35">
      <c r="D544" s="63"/>
      <c r="S544" s="63"/>
      <c r="T544" s="63"/>
    </row>
    <row r="545" spans="4:20" x14ac:dyDescent="0.35">
      <c r="D545" s="63"/>
      <c r="S545" s="63"/>
      <c r="T545" s="63"/>
    </row>
    <row r="546" spans="4:20" x14ac:dyDescent="0.35">
      <c r="D546" s="63"/>
      <c r="S546" s="63"/>
      <c r="T546" s="63"/>
    </row>
    <row r="547" spans="4:20" x14ac:dyDescent="0.35">
      <c r="D547" s="63"/>
      <c r="S547" s="63"/>
      <c r="T547" s="63"/>
    </row>
    <row r="548" spans="4:20" x14ac:dyDescent="0.35">
      <c r="D548" s="63"/>
      <c r="S548" s="63"/>
      <c r="T548" s="63"/>
    </row>
    <row r="549" spans="4:20" x14ac:dyDescent="0.35">
      <c r="D549" s="63"/>
      <c r="S549" s="63"/>
      <c r="T549" s="63"/>
    </row>
    <row r="550" spans="4:20" x14ac:dyDescent="0.35">
      <c r="D550" s="63"/>
      <c r="S550" s="63"/>
      <c r="T550" s="63"/>
    </row>
    <row r="551" spans="4:20" x14ac:dyDescent="0.35">
      <c r="D551" s="63"/>
      <c r="S551" s="63"/>
      <c r="T551" s="63"/>
    </row>
    <row r="552" spans="4:20" x14ac:dyDescent="0.35">
      <c r="D552" s="63"/>
      <c r="S552" s="63"/>
      <c r="T552" s="63"/>
    </row>
    <row r="553" spans="4:20" x14ac:dyDescent="0.35">
      <c r="D553" s="63"/>
      <c r="S553" s="63"/>
      <c r="T553" s="63"/>
    </row>
    <row r="554" spans="4:20" x14ac:dyDescent="0.35">
      <c r="D554" s="63"/>
      <c r="S554" s="63"/>
      <c r="T554" s="63"/>
    </row>
    <row r="555" spans="4:20" x14ac:dyDescent="0.35">
      <c r="D555" s="63"/>
      <c r="S555" s="63"/>
      <c r="T555" s="63"/>
    </row>
    <row r="556" spans="4:20" x14ac:dyDescent="0.35">
      <c r="D556" s="63"/>
      <c r="S556" s="63"/>
      <c r="T556" s="63"/>
    </row>
    <row r="557" spans="4:20" x14ac:dyDescent="0.35">
      <c r="D557" s="63"/>
      <c r="S557" s="63"/>
      <c r="T557" s="63"/>
    </row>
    <row r="558" spans="4:20" x14ac:dyDescent="0.35">
      <c r="D558" s="63"/>
      <c r="S558" s="63"/>
      <c r="T558" s="63"/>
    </row>
    <row r="559" spans="4:20" x14ac:dyDescent="0.35">
      <c r="D559" s="63"/>
      <c r="S559" s="63"/>
      <c r="T559" s="63"/>
    </row>
    <row r="560" spans="4:20" x14ac:dyDescent="0.35">
      <c r="D560" s="63"/>
      <c r="S560" s="63"/>
      <c r="T560" s="63"/>
    </row>
    <row r="561" spans="4:20" x14ac:dyDescent="0.35">
      <c r="D561" s="63"/>
      <c r="S561" s="63"/>
      <c r="T561" s="63"/>
    </row>
    <row r="562" spans="4:20" x14ac:dyDescent="0.35">
      <c r="D562" s="63"/>
      <c r="S562" s="63"/>
      <c r="T562" s="63"/>
    </row>
    <row r="563" spans="4:20" x14ac:dyDescent="0.35">
      <c r="D563" s="63"/>
      <c r="S563" s="63"/>
      <c r="T563" s="63"/>
    </row>
    <row r="564" spans="4:20" x14ac:dyDescent="0.35">
      <c r="D564" s="63"/>
      <c r="S564" s="63"/>
      <c r="T564" s="63"/>
    </row>
    <row r="565" spans="4:20" x14ac:dyDescent="0.35">
      <c r="D565" s="63"/>
      <c r="S565" s="63"/>
      <c r="T565" s="63"/>
    </row>
    <row r="566" spans="4:20" x14ac:dyDescent="0.35">
      <c r="D566" s="63"/>
      <c r="S566" s="63"/>
      <c r="T566" s="63"/>
    </row>
    <row r="567" spans="4:20" x14ac:dyDescent="0.35">
      <c r="D567" s="63"/>
      <c r="S567" s="63"/>
      <c r="T567" s="63"/>
    </row>
    <row r="568" spans="4:20" x14ac:dyDescent="0.35">
      <c r="D568" s="63"/>
      <c r="S568" s="63"/>
      <c r="T568" s="63"/>
    </row>
    <row r="569" spans="4:20" x14ac:dyDescent="0.35">
      <c r="D569" s="63"/>
      <c r="S569" s="63"/>
      <c r="T569" s="63"/>
    </row>
    <row r="570" spans="4:20" x14ac:dyDescent="0.35">
      <c r="D570" s="63"/>
      <c r="S570" s="63"/>
      <c r="T570" s="63"/>
    </row>
    <row r="571" spans="4:20" x14ac:dyDescent="0.35">
      <c r="D571" s="63"/>
      <c r="S571" s="63"/>
      <c r="T571" s="63"/>
    </row>
    <row r="572" spans="4:20" x14ac:dyDescent="0.35">
      <c r="D572" s="63"/>
      <c r="S572" s="63"/>
      <c r="T572" s="63"/>
    </row>
    <row r="573" spans="4:20" x14ac:dyDescent="0.35">
      <c r="D573" s="63"/>
      <c r="S573" s="63"/>
      <c r="T573" s="63"/>
    </row>
    <row r="574" spans="4:20" x14ac:dyDescent="0.35">
      <c r="D574" s="63"/>
      <c r="S574" s="63"/>
      <c r="T574" s="63"/>
    </row>
    <row r="575" spans="4:20" x14ac:dyDescent="0.35">
      <c r="D575" s="63"/>
      <c r="S575" s="63"/>
      <c r="T575" s="63"/>
    </row>
    <row r="576" spans="4:20" x14ac:dyDescent="0.35">
      <c r="D576" s="63"/>
      <c r="S576" s="63"/>
      <c r="T576" s="63"/>
    </row>
    <row r="577" spans="4:20" x14ac:dyDescent="0.35">
      <c r="D577" s="63"/>
      <c r="S577" s="63"/>
      <c r="T577" s="63"/>
    </row>
    <row r="578" spans="4:20" x14ac:dyDescent="0.35">
      <c r="D578" s="63"/>
      <c r="S578" s="63"/>
      <c r="T578" s="63"/>
    </row>
    <row r="579" spans="4:20" x14ac:dyDescent="0.35">
      <c r="D579" s="63"/>
      <c r="S579" s="63"/>
      <c r="T579" s="63"/>
    </row>
    <row r="580" spans="4:20" x14ac:dyDescent="0.35">
      <c r="D580" s="63"/>
      <c r="S580" s="63"/>
      <c r="T580" s="63"/>
    </row>
    <row r="581" spans="4:20" x14ac:dyDescent="0.35">
      <c r="D581" s="63"/>
      <c r="S581" s="63"/>
      <c r="T581" s="63"/>
    </row>
    <row r="582" spans="4:20" x14ac:dyDescent="0.35">
      <c r="D582" s="63"/>
      <c r="S582" s="63"/>
      <c r="T582" s="63"/>
    </row>
    <row r="583" spans="4:20" x14ac:dyDescent="0.35">
      <c r="D583" s="63"/>
      <c r="S583" s="63"/>
      <c r="T583" s="63"/>
    </row>
    <row r="584" spans="4:20" x14ac:dyDescent="0.35">
      <c r="D584" s="63"/>
      <c r="S584" s="63"/>
      <c r="T584" s="63"/>
    </row>
    <row r="585" spans="4:20" x14ac:dyDescent="0.35">
      <c r="D585" s="63"/>
      <c r="S585" s="63"/>
      <c r="T585" s="63"/>
    </row>
    <row r="586" spans="4:20" x14ac:dyDescent="0.35">
      <c r="D586" s="63"/>
      <c r="S586" s="63"/>
      <c r="T586" s="63"/>
    </row>
    <row r="587" spans="4:20" x14ac:dyDescent="0.35">
      <c r="D587" s="63"/>
      <c r="S587" s="63"/>
      <c r="T587" s="63"/>
    </row>
    <row r="588" spans="4:20" x14ac:dyDescent="0.35">
      <c r="D588" s="63"/>
      <c r="S588" s="63"/>
      <c r="T588" s="63"/>
    </row>
    <row r="589" spans="4:20" x14ac:dyDescent="0.35">
      <c r="D589" s="63"/>
      <c r="S589" s="63"/>
      <c r="T589" s="63"/>
    </row>
    <row r="590" spans="4:20" x14ac:dyDescent="0.35">
      <c r="D590" s="63"/>
      <c r="S590" s="63"/>
      <c r="T590" s="63"/>
    </row>
    <row r="591" spans="4:20" x14ac:dyDescent="0.35">
      <c r="D591" s="63"/>
      <c r="S591" s="63"/>
      <c r="T591" s="63"/>
    </row>
    <row r="592" spans="4:20" x14ac:dyDescent="0.35">
      <c r="D592" s="63"/>
      <c r="S592" s="63"/>
      <c r="T592" s="63"/>
    </row>
    <row r="593" spans="4:20" x14ac:dyDescent="0.35">
      <c r="D593" s="63"/>
      <c r="S593" s="63"/>
      <c r="T593" s="63"/>
    </row>
    <row r="594" spans="4:20" x14ac:dyDescent="0.35">
      <c r="D594" s="63"/>
      <c r="S594" s="63"/>
      <c r="T594" s="63"/>
    </row>
    <row r="595" spans="4:20" x14ac:dyDescent="0.35">
      <c r="D595" s="63"/>
      <c r="S595" s="63"/>
      <c r="T595" s="63"/>
    </row>
    <row r="596" spans="4:20" x14ac:dyDescent="0.35">
      <c r="D596" s="63"/>
      <c r="S596" s="63"/>
      <c r="T596" s="63"/>
    </row>
    <row r="597" spans="4:20" x14ac:dyDescent="0.35">
      <c r="D597" s="63"/>
      <c r="S597" s="63"/>
      <c r="T597" s="63"/>
    </row>
    <row r="598" spans="4:20" x14ac:dyDescent="0.35">
      <c r="D598" s="63"/>
      <c r="S598" s="63"/>
      <c r="T598" s="63"/>
    </row>
    <row r="599" spans="4:20" x14ac:dyDescent="0.35">
      <c r="D599" s="63"/>
      <c r="S599" s="63"/>
      <c r="T599" s="63"/>
    </row>
    <row r="600" spans="4:20" x14ac:dyDescent="0.35">
      <c r="D600" s="63"/>
      <c r="S600" s="63"/>
      <c r="T600" s="63"/>
    </row>
    <row r="601" spans="4:20" x14ac:dyDescent="0.35">
      <c r="D601" s="63"/>
      <c r="S601" s="63"/>
      <c r="T601" s="63"/>
    </row>
    <row r="602" spans="4:20" x14ac:dyDescent="0.35">
      <c r="D602" s="63"/>
      <c r="S602" s="63"/>
      <c r="T602" s="63"/>
    </row>
    <row r="603" spans="4:20" x14ac:dyDescent="0.35">
      <c r="D603" s="63"/>
      <c r="S603" s="63"/>
      <c r="T603" s="63"/>
    </row>
    <row r="604" spans="4:20" x14ac:dyDescent="0.35">
      <c r="D604" s="63"/>
      <c r="S604" s="63"/>
      <c r="T604" s="63"/>
    </row>
    <row r="605" spans="4:20" x14ac:dyDescent="0.35">
      <c r="D605" s="63"/>
      <c r="S605" s="63"/>
      <c r="T605" s="63"/>
    </row>
    <row r="606" spans="4:20" x14ac:dyDescent="0.35">
      <c r="D606" s="63"/>
      <c r="S606" s="63"/>
      <c r="T606" s="63"/>
    </row>
    <row r="607" spans="4:20" x14ac:dyDescent="0.35">
      <c r="D607" s="63"/>
      <c r="S607" s="63"/>
      <c r="T607" s="63"/>
    </row>
    <row r="608" spans="4:20" x14ac:dyDescent="0.35">
      <c r="D608" s="63"/>
      <c r="S608" s="63"/>
      <c r="T608" s="63"/>
    </row>
    <row r="609" spans="4:20" x14ac:dyDescent="0.35">
      <c r="D609" s="63"/>
      <c r="S609" s="63"/>
      <c r="T609" s="63"/>
    </row>
    <row r="610" spans="4:20" x14ac:dyDescent="0.35">
      <c r="D610" s="63"/>
      <c r="S610" s="63"/>
      <c r="T610" s="63"/>
    </row>
    <row r="611" spans="4:20" x14ac:dyDescent="0.35">
      <c r="D611" s="63"/>
      <c r="S611" s="63"/>
      <c r="T611" s="63"/>
    </row>
    <row r="612" spans="4:20" x14ac:dyDescent="0.35">
      <c r="D612" s="63"/>
      <c r="S612" s="63"/>
      <c r="T612" s="63"/>
    </row>
    <row r="613" spans="4:20" x14ac:dyDescent="0.35">
      <c r="D613" s="63"/>
      <c r="S613" s="63"/>
      <c r="T613" s="63"/>
    </row>
    <row r="614" spans="4:20" x14ac:dyDescent="0.35">
      <c r="D614" s="63"/>
      <c r="S614" s="63"/>
      <c r="T614" s="63"/>
    </row>
    <row r="615" spans="4:20" x14ac:dyDescent="0.35">
      <c r="D615" s="63"/>
      <c r="S615" s="63"/>
      <c r="T615" s="63"/>
    </row>
    <row r="616" spans="4:20" x14ac:dyDescent="0.35">
      <c r="D616" s="63"/>
      <c r="S616" s="63"/>
      <c r="T616" s="63"/>
    </row>
    <row r="617" spans="4:20" x14ac:dyDescent="0.35">
      <c r="D617" s="63"/>
      <c r="S617" s="63"/>
      <c r="T617" s="63"/>
    </row>
    <row r="618" spans="4:20" x14ac:dyDescent="0.35">
      <c r="D618" s="63"/>
      <c r="S618" s="63"/>
      <c r="T618" s="63"/>
    </row>
    <row r="619" spans="4:20" x14ac:dyDescent="0.35">
      <c r="D619" s="63"/>
      <c r="S619" s="63"/>
      <c r="T619" s="63"/>
    </row>
    <row r="620" spans="4:20" x14ac:dyDescent="0.35">
      <c r="D620" s="63"/>
      <c r="S620" s="63"/>
      <c r="T620" s="63"/>
    </row>
    <row r="621" spans="4:20" x14ac:dyDescent="0.35">
      <c r="D621" s="63"/>
      <c r="S621" s="63"/>
      <c r="T621" s="63"/>
    </row>
    <row r="622" spans="4:20" x14ac:dyDescent="0.35">
      <c r="D622" s="63"/>
      <c r="S622" s="63"/>
      <c r="T622" s="63"/>
    </row>
    <row r="623" spans="4:20" x14ac:dyDescent="0.35">
      <c r="D623" s="63"/>
      <c r="S623" s="63"/>
      <c r="T623" s="63"/>
    </row>
    <row r="624" spans="4:20" x14ac:dyDescent="0.35">
      <c r="D624" s="63"/>
      <c r="S624" s="63"/>
      <c r="T624" s="63"/>
    </row>
    <row r="625" spans="4:20" x14ac:dyDescent="0.35">
      <c r="D625" s="63"/>
      <c r="S625" s="63"/>
      <c r="T625" s="63"/>
    </row>
    <row r="626" spans="4:20" x14ac:dyDescent="0.35">
      <c r="D626" s="63"/>
      <c r="S626" s="63"/>
      <c r="T626" s="63"/>
    </row>
    <row r="627" spans="4:20" x14ac:dyDescent="0.35">
      <c r="D627" s="63"/>
      <c r="S627" s="63"/>
      <c r="T627" s="63"/>
    </row>
    <row r="628" spans="4:20" x14ac:dyDescent="0.35">
      <c r="D628" s="63"/>
      <c r="S628" s="63"/>
      <c r="T628" s="63"/>
    </row>
    <row r="629" spans="4:20" x14ac:dyDescent="0.35">
      <c r="D629" s="63"/>
      <c r="S629" s="63"/>
      <c r="T629" s="63"/>
    </row>
    <row r="630" spans="4:20" x14ac:dyDescent="0.35">
      <c r="D630" s="63"/>
      <c r="S630" s="63"/>
      <c r="T630" s="63"/>
    </row>
    <row r="631" spans="4:20" x14ac:dyDescent="0.35">
      <c r="D631" s="63"/>
      <c r="S631" s="63"/>
      <c r="T631" s="63"/>
    </row>
    <row r="632" spans="4:20" x14ac:dyDescent="0.35">
      <c r="D632" s="63"/>
      <c r="S632" s="63"/>
      <c r="T632" s="63"/>
    </row>
    <row r="633" spans="4:20" x14ac:dyDescent="0.35">
      <c r="D633" s="63"/>
      <c r="S633" s="63"/>
      <c r="T633" s="63"/>
    </row>
    <row r="634" spans="4:20" x14ac:dyDescent="0.35">
      <c r="D634" s="63"/>
      <c r="S634" s="63"/>
      <c r="T634" s="63"/>
    </row>
    <row r="635" spans="4:20" x14ac:dyDescent="0.35">
      <c r="D635" s="63"/>
      <c r="S635" s="63"/>
      <c r="T635" s="63"/>
    </row>
    <row r="636" spans="4:20" x14ac:dyDescent="0.35">
      <c r="D636" s="63"/>
      <c r="S636" s="63"/>
      <c r="T636" s="63"/>
    </row>
    <row r="637" spans="4:20" x14ac:dyDescent="0.35">
      <c r="D637" s="63"/>
      <c r="S637" s="63"/>
      <c r="T637" s="63"/>
    </row>
    <row r="638" spans="4:20" x14ac:dyDescent="0.35">
      <c r="D638" s="63"/>
      <c r="S638" s="63"/>
      <c r="T638" s="63"/>
    </row>
    <row r="639" spans="4:20" x14ac:dyDescent="0.35">
      <c r="D639" s="63"/>
      <c r="S639" s="63"/>
      <c r="T639" s="63"/>
    </row>
    <row r="640" spans="4:20" x14ac:dyDescent="0.35">
      <c r="D640" s="63"/>
      <c r="S640" s="63"/>
      <c r="T640" s="63"/>
    </row>
    <row r="641" spans="4:20" x14ac:dyDescent="0.35">
      <c r="D641" s="63"/>
      <c r="S641" s="63"/>
      <c r="T641" s="63"/>
    </row>
    <row r="642" spans="4:20" x14ac:dyDescent="0.35">
      <c r="D642" s="63"/>
      <c r="S642" s="63"/>
      <c r="T642" s="63"/>
    </row>
    <row r="643" spans="4:20" x14ac:dyDescent="0.35">
      <c r="D643" s="63"/>
      <c r="S643" s="63"/>
      <c r="T643" s="63"/>
    </row>
    <row r="644" spans="4:20" x14ac:dyDescent="0.35">
      <c r="D644" s="63"/>
      <c r="S644" s="63"/>
      <c r="T644" s="63"/>
    </row>
    <row r="645" spans="4:20" x14ac:dyDescent="0.35">
      <c r="D645" s="63"/>
      <c r="S645" s="63"/>
      <c r="T645" s="63"/>
    </row>
    <row r="646" spans="4:20" x14ac:dyDescent="0.35">
      <c r="D646" s="63"/>
      <c r="S646" s="63"/>
      <c r="T646" s="63"/>
    </row>
    <row r="647" spans="4:20" x14ac:dyDescent="0.35">
      <c r="D647" s="63"/>
      <c r="S647" s="63"/>
      <c r="T647" s="63"/>
    </row>
    <row r="648" spans="4:20" x14ac:dyDescent="0.35">
      <c r="D648" s="63"/>
      <c r="S648" s="63"/>
      <c r="T648" s="63"/>
    </row>
    <row r="649" spans="4:20" x14ac:dyDescent="0.35">
      <c r="D649" s="63"/>
      <c r="S649" s="63"/>
      <c r="T649" s="63"/>
    </row>
    <row r="650" spans="4:20" x14ac:dyDescent="0.35">
      <c r="D650" s="63"/>
      <c r="S650" s="63"/>
      <c r="T650" s="63"/>
    </row>
    <row r="651" spans="4:20" x14ac:dyDescent="0.35">
      <c r="D651" s="63"/>
      <c r="S651" s="63"/>
      <c r="T651" s="63"/>
    </row>
    <row r="652" spans="4:20" x14ac:dyDescent="0.35">
      <c r="D652" s="63"/>
      <c r="S652" s="63"/>
      <c r="T652" s="63"/>
    </row>
    <row r="653" spans="4:20" x14ac:dyDescent="0.35">
      <c r="D653" s="63"/>
      <c r="S653" s="63"/>
      <c r="T653" s="63"/>
    </row>
    <row r="654" spans="4:20" x14ac:dyDescent="0.35">
      <c r="D654" s="63"/>
      <c r="S654" s="63"/>
      <c r="T654" s="63"/>
    </row>
    <row r="655" spans="4:20" x14ac:dyDescent="0.35">
      <c r="D655" s="63"/>
      <c r="S655" s="63"/>
      <c r="T655" s="63"/>
    </row>
    <row r="656" spans="4:20" x14ac:dyDescent="0.35">
      <c r="D656" s="63"/>
      <c r="S656" s="63"/>
      <c r="T656" s="63"/>
    </row>
    <row r="657" spans="4:20" x14ac:dyDescent="0.35">
      <c r="D657" s="63"/>
      <c r="S657" s="63"/>
      <c r="T657" s="63"/>
    </row>
    <row r="658" spans="4:20" x14ac:dyDescent="0.35">
      <c r="D658" s="63"/>
      <c r="S658" s="63"/>
      <c r="T658" s="63"/>
    </row>
    <row r="659" spans="4:20" x14ac:dyDescent="0.35">
      <c r="D659" s="63"/>
      <c r="S659" s="63"/>
      <c r="T659" s="63"/>
    </row>
    <row r="660" spans="4:20" x14ac:dyDescent="0.35">
      <c r="D660" s="63"/>
      <c r="S660" s="63"/>
      <c r="T660" s="63"/>
    </row>
    <row r="661" spans="4:20" x14ac:dyDescent="0.35">
      <c r="D661" s="63"/>
      <c r="S661" s="63"/>
      <c r="T661" s="63"/>
    </row>
    <row r="662" spans="4:20" x14ac:dyDescent="0.35">
      <c r="D662" s="63"/>
      <c r="S662" s="63"/>
      <c r="T662" s="63"/>
    </row>
    <row r="663" spans="4:20" x14ac:dyDescent="0.35">
      <c r="D663" s="63"/>
      <c r="S663" s="63"/>
      <c r="T663" s="63"/>
    </row>
    <row r="664" spans="4:20" x14ac:dyDescent="0.35">
      <c r="D664" s="63"/>
      <c r="S664" s="63"/>
      <c r="T664" s="63"/>
    </row>
    <row r="665" spans="4:20" x14ac:dyDescent="0.35">
      <c r="D665" s="63"/>
      <c r="S665" s="63"/>
      <c r="T665" s="63"/>
    </row>
    <row r="666" spans="4:20" x14ac:dyDescent="0.35">
      <c r="D666" s="63"/>
      <c r="S666" s="63"/>
      <c r="T666" s="63"/>
    </row>
    <row r="667" spans="4:20" x14ac:dyDescent="0.35">
      <c r="D667" s="63"/>
      <c r="S667" s="63"/>
      <c r="T667" s="63"/>
    </row>
    <row r="668" spans="4:20" x14ac:dyDescent="0.35">
      <c r="D668" s="63"/>
      <c r="S668" s="63"/>
      <c r="T668" s="63"/>
    </row>
    <row r="669" spans="4:20" x14ac:dyDescent="0.35">
      <c r="D669" s="63"/>
      <c r="S669" s="63"/>
      <c r="T669" s="63"/>
    </row>
    <row r="670" spans="4:20" x14ac:dyDescent="0.35">
      <c r="D670" s="63"/>
      <c r="S670" s="63"/>
      <c r="T670" s="63"/>
    </row>
    <row r="671" spans="4:20" x14ac:dyDescent="0.35">
      <c r="D671" s="63"/>
      <c r="S671" s="63"/>
      <c r="T671" s="63"/>
    </row>
    <row r="672" spans="4:20" x14ac:dyDescent="0.35">
      <c r="D672" s="63"/>
      <c r="S672" s="63"/>
      <c r="T672" s="63"/>
    </row>
    <row r="673" spans="4:20" x14ac:dyDescent="0.35">
      <c r="D673" s="63"/>
      <c r="S673" s="63"/>
      <c r="T673" s="63"/>
    </row>
    <row r="674" spans="4:20" x14ac:dyDescent="0.35">
      <c r="D674" s="63"/>
      <c r="S674" s="63"/>
      <c r="T674" s="63"/>
    </row>
    <row r="675" spans="4:20" x14ac:dyDescent="0.35">
      <c r="D675" s="63"/>
      <c r="S675" s="63"/>
      <c r="T675" s="63"/>
    </row>
    <row r="676" spans="4:20" x14ac:dyDescent="0.35">
      <c r="D676" s="63"/>
      <c r="S676" s="63"/>
      <c r="T676" s="63"/>
    </row>
    <row r="677" spans="4:20" x14ac:dyDescent="0.35">
      <c r="D677" s="63"/>
      <c r="S677" s="63"/>
      <c r="T677" s="63"/>
    </row>
    <row r="678" spans="4:20" x14ac:dyDescent="0.35">
      <c r="D678" s="63"/>
      <c r="S678" s="63"/>
      <c r="T678" s="63"/>
    </row>
    <row r="679" spans="4:20" x14ac:dyDescent="0.35">
      <c r="D679" s="63"/>
      <c r="S679" s="63"/>
      <c r="T679" s="63"/>
    </row>
    <row r="680" spans="4:20" x14ac:dyDescent="0.35">
      <c r="D680" s="63"/>
      <c r="S680" s="63"/>
      <c r="T680" s="63"/>
    </row>
    <row r="681" spans="4:20" x14ac:dyDescent="0.35">
      <c r="D681" s="63"/>
      <c r="S681" s="63"/>
      <c r="T681" s="63"/>
    </row>
    <row r="682" spans="4:20" x14ac:dyDescent="0.35">
      <c r="D682" s="63"/>
      <c r="S682" s="63"/>
      <c r="T682" s="63"/>
    </row>
    <row r="683" spans="4:20" x14ac:dyDescent="0.35">
      <c r="D683" s="63"/>
      <c r="S683" s="63"/>
      <c r="T683" s="63"/>
    </row>
    <row r="684" spans="4:20" x14ac:dyDescent="0.35">
      <c r="D684" s="63"/>
      <c r="S684" s="63"/>
      <c r="T684" s="63"/>
    </row>
    <row r="685" spans="4:20" x14ac:dyDescent="0.35">
      <c r="D685" s="63"/>
      <c r="S685" s="63"/>
      <c r="T685" s="63"/>
    </row>
    <row r="686" spans="4:20" x14ac:dyDescent="0.35">
      <c r="D686" s="63"/>
      <c r="S686" s="63"/>
      <c r="T686" s="63"/>
    </row>
    <row r="687" spans="4:20" x14ac:dyDescent="0.35">
      <c r="D687" s="63"/>
      <c r="S687" s="63"/>
      <c r="T687" s="63"/>
    </row>
    <row r="688" spans="4:20" x14ac:dyDescent="0.35">
      <c r="D688" s="63"/>
      <c r="S688" s="63"/>
      <c r="T688" s="63"/>
    </row>
    <row r="689" spans="4:20" x14ac:dyDescent="0.35">
      <c r="D689" s="63"/>
      <c r="S689" s="63"/>
      <c r="T689" s="63"/>
    </row>
    <row r="690" spans="4:20" x14ac:dyDescent="0.35">
      <c r="D690" s="63"/>
      <c r="S690" s="63"/>
      <c r="T690" s="63"/>
    </row>
    <row r="691" spans="4:20" x14ac:dyDescent="0.35">
      <c r="D691" s="63"/>
      <c r="S691" s="63"/>
      <c r="T691" s="63"/>
    </row>
    <row r="692" spans="4:20" x14ac:dyDescent="0.35">
      <c r="D692" s="63"/>
      <c r="S692" s="63"/>
      <c r="T692" s="63"/>
    </row>
    <row r="693" spans="4:20" x14ac:dyDescent="0.35">
      <c r="D693" s="63"/>
      <c r="S693" s="63"/>
      <c r="T693" s="63"/>
    </row>
    <row r="694" spans="4:20" x14ac:dyDescent="0.35">
      <c r="D694" s="63"/>
      <c r="S694" s="63"/>
      <c r="T694" s="63"/>
    </row>
    <row r="695" spans="4:20" x14ac:dyDescent="0.35">
      <c r="D695" s="63"/>
      <c r="S695" s="63"/>
      <c r="T695" s="63"/>
    </row>
    <row r="696" spans="4:20" x14ac:dyDescent="0.35">
      <c r="D696" s="63"/>
      <c r="S696" s="63"/>
      <c r="T696" s="63"/>
    </row>
    <row r="697" spans="4:20" x14ac:dyDescent="0.35">
      <c r="D697" s="63"/>
      <c r="S697" s="63"/>
      <c r="T697" s="63"/>
    </row>
    <row r="698" spans="4:20" x14ac:dyDescent="0.35">
      <c r="D698" s="63"/>
      <c r="S698" s="63"/>
      <c r="T698" s="63"/>
    </row>
    <row r="699" spans="4:20" x14ac:dyDescent="0.35">
      <c r="D699" s="63"/>
      <c r="S699" s="63"/>
      <c r="T699" s="63"/>
    </row>
    <row r="700" spans="4:20" x14ac:dyDescent="0.35">
      <c r="D700" s="63"/>
      <c r="S700" s="63"/>
      <c r="T700" s="63"/>
    </row>
    <row r="701" spans="4:20" x14ac:dyDescent="0.35">
      <c r="D701" s="63"/>
      <c r="S701" s="63"/>
      <c r="T701" s="63"/>
    </row>
    <row r="702" spans="4:20" x14ac:dyDescent="0.35">
      <c r="D702" s="63"/>
      <c r="S702" s="63"/>
      <c r="T702" s="63"/>
    </row>
    <row r="703" spans="4:20" x14ac:dyDescent="0.35">
      <c r="D703" s="63"/>
      <c r="S703" s="63"/>
      <c r="T703" s="63"/>
    </row>
    <row r="704" spans="4:20" x14ac:dyDescent="0.35">
      <c r="D704" s="63"/>
      <c r="S704" s="63"/>
      <c r="T704" s="63"/>
    </row>
    <row r="705" spans="4:20" x14ac:dyDescent="0.35">
      <c r="D705" s="63"/>
      <c r="S705" s="63"/>
      <c r="T705" s="63"/>
    </row>
    <row r="706" spans="4:20" x14ac:dyDescent="0.35">
      <c r="D706" s="63"/>
      <c r="S706" s="63"/>
      <c r="T706" s="63"/>
    </row>
    <row r="707" spans="4:20" x14ac:dyDescent="0.35">
      <c r="D707" s="63"/>
      <c r="S707" s="63"/>
      <c r="T707" s="63"/>
    </row>
    <row r="708" spans="4:20" x14ac:dyDescent="0.35">
      <c r="D708" s="63"/>
      <c r="S708" s="63"/>
      <c r="T708" s="63"/>
    </row>
    <row r="709" spans="4:20" x14ac:dyDescent="0.35">
      <c r="D709" s="63"/>
      <c r="S709" s="63"/>
      <c r="T709" s="63"/>
    </row>
    <row r="710" spans="4:20" x14ac:dyDescent="0.35">
      <c r="D710" s="63"/>
      <c r="S710" s="63"/>
      <c r="T710" s="63"/>
    </row>
    <row r="711" spans="4:20" x14ac:dyDescent="0.35">
      <c r="D711" s="63"/>
      <c r="S711" s="63"/>
      <c r="T711" s="63"/>
    </row>
    <row r="712" spans="4:20" x14ac:dyDescent="0.35">
      <c r="D712" s="63"/>
      <c r="S712" s="63"/>
      <c r="T712" s="63"/>
    </row>
    <row r="713" spans="4:20" x14ac:dyDescent="0.35">
      <c r="D713" s="63"/>
      <c r="S713" s="63"/>
      <c r="T713" s="63"/>
    </row>
    <row r="714" spans="4:20" x14ac:dyDescent="0.35">
      <c r="D714" s="63"/>
      <c r="S714" s="63"/>
      <c r="T714" s="63"/>
    </row>
    <row r="715" spans="4:20" x14ac:dyDescent="0.35">
      <c r="D715" s="63"/>
      <c r="S715" s="63"/>
      <c r="T715" s="63"/>
    </row>
    <row r="716" spans="4:20" x14ac:dyDescent="0.35">
      <c r="D716" s="63"/>
      <c r="S716" s="63"/>
      <c r="T716" s="63"/>
    </row>
    <row r="717" spans="4:20" x14ac:dyDescent="0.35">
      <c r="D717" s="63"/>
      <c r="S717" s="63"/>
      <c r="T717" s="63"/>
    </row>
    <row r="718" spans="4:20" x14ac:dyDescent="0.35">
      <c r="D718" s="63"/>
      <c r="S718" s="63"/>
      <c r="T718" s="63"/>
    </row>
    <row r="719" spans="4:20" x14ac:dyDescent="0.35">
      <c r="D719" s="63"/>
      <c r="S719" s="63"/>
      <c r="T719" s="63"/>
    </row>
    <row r="720" spans="4:20" x14ac:dyDescent="0.35">
      <c r="D720" s="63"/>
      <c r="S720" s="63"/>
      <c r="T720" s="63"/>
    </row>
    <row r="721" spans="4:20" x14ac:dyDescent="0.35">
      <c r="D721" s="63"/>
      <c r="S721" s="63"/>
      <c r="T721" s="63"/>
    </row>
    <row r="722" spans="4:20" x14ac:dyDescent="0.35">
      <c r="D722" s="63"/>
      <c r="S722" s="63"/>
      <c r="T722" s="63"/>
    </row>
    <row r="723" spans="4:20" x14ac:dyDescent="0.35">
      <c r="D723" s="63"/>
      <c r="S723" s="63"/>
      <c r="T723" s="63"/>
    </row>
    <row r="724" spans="4:20" x14ac:dyDescent="0.35">
      <c r="D724" s="63"/>
      <c r="S724" s="63"/>
      <c r="T724" s="63"/>
    </row>
    <row r="725" spans="4:20" x14ac:dyDescent="0.35">
      <c r="D725" s="63"/>
      <c r="S725" s="63"/>
      <c r="T725" s="63"/>
    </row>
    <row r="726" spans="4:20" x14ac:dyDescent="0.35">
      <c r="D726" s="63"/>
      <c r="S726" s="63"/>
      <c r="T726" s="63"/>
    </row>
    <row r="727" spans="4:20" x14ac:dyDescent="0.35">
      <c r="D727" s="63"/>
      <c r="S727" s="63"/>
      <c r="T727" s="63"/>
    </row>
    <row r="728" spans="4:20" x14ac:dyDescent="0.35">
      <c r="D728" s="63"/>
      <c r="S728" s="63"/>
      <c r="T728" s="63"/>
    </row>
    <row r="729" spans="4:20" x14ac:dyDescent="0.35">
      <c r="D729" s="63"/>
      <c r="S729" s="63"/>
      <c r="T729" s="63"/>
    </row>
    <row r="730" spans="4:20" x14ac:dyDescent="0.35">
      <c r="D730" s="63"/>
      <c r="S730" s="63"/>
      <c r="T730" s="63"/>
    </row>
    <row r="731" spans="4:20" x14ac:dyDescent="0.35">
      <c r="D731" s="63"/>
      <c r="S731" s="63"/>
      <c r="T731" s="63"/>
    </row>
    <row r="732" spans="4:20" x14ac:dyDescent="0.35">
      <c r="D732" s="63"/>
      <c r="S732" s="63"/>
      <c r="T732" s="63"/>
    </row>
    <row r="733" spans="4:20" x14ac:dyDescent="0.35">
      <c r="D733" s="63"/>
      <c r="S733" s="63"/>
      <c r="T733" s="63"/>
    </row>
    <row r="734" spans="4:20" x14ac:dyDescent="0.35">
      <c r="D734" s="63"/>
      <c r="S734" s="63"/>
      <c r="T734" s="63"/>
    </row>
    <row r="735" spans="4:20" x14ac:dyDescent="0.35">
      <c r="D735" s="63"/>
      <c r="S735" s="63"/>
      <c r="T735" s="63"/>
    </row>
    <row r="736" spans="4:20" x14ac:dyDescent="0.35">
      <c r="D736" s="63"/>
      <c r="S736" s="63"/>
      <c r="T736" s="63"/>
    </row>
    <row r="737" spans="4:20" x14ac:dyDescent="0.35">
      <c r="D737" s="63"/>
      <c r="S737" s="63"/>
      <c r="T737" s="63"/>
    </row>
    <row r="738" spans="4:20" x14ac:dyDescent="0.35">
      <c r="D738" s="63"/>
      <c r="S738" s="63"/>
      <c r="T738" s="63"/>
    </row>
    <row r="739" spans="4:20" x14ac:dyDescent="0.35">
      <c r="D739" s="63"/>
      <c r="S739" s="63"/>
      <c r="T739" s="63"/>
    </row>
    <row r="740" spans="4:20" x14ac:dyDescent="0.35">
      <c r="D740" s="63"/>
      <c r="S740" s="63"/>
      <c r="T740" s="63"/>
    </row>
    <row r="741" spans="4:20" x14ac:dyDescent="0.35">
      <c r="D741" s="63"/>
      <c r="S741" s="63"/>
      <c r="T741" s="63"/>
    </row>
    <row r="742" spans="4:20" x14ac:dyDescent="0.35">
      <c r="D742" s="63"/>
      <c r="S742" s="63"/>
      <c r="T742" s="63"/>
    </row>
    <row r="743" spans="4:20" x14ac:dyDescent="0.35">
      <c r="D743" s="63"/>
      <c r="S743" s="63"/>
      <c r="T743" s="63"/>
    </row>
    <row r="744" spans="4:20" x14ac:dyDescent="0.35">
      <c r="D744" s="63"/>
      <c r="S744" s="63"/>
      <c r="T744" s="63"/>
    </row>
    <row r="745" spans="4:20" x14ac:dyDescent="0.35">
      <c r="D745" s="63"/>
      <c r="S745" s="63"/>
      <c r="T745" s="63"/>
    </row>
    <row r="746" spans="4:20" x14ac:dyDescent="0.35">
      <c r="D746" s="63"/>
      <c r="S746" s="63"/>
      <c r="T746" s="63"/>
    </row>
    <row r="747" spans="4:20" x14ac:dyDescent="0.35">
      <c r="D747" s="63"/>
      <c r="S747" s="63"/>
      <c r="T747" s="63"/>
    </row>
    <row r="748" spans="4:20" x14ac:dyDescent="0.35">
      <c r="D748" s="63"/>
      <c r="S748" s="63"/>
      <c r="T748" s="63"/>
    </row>
    <row r="749" spans="4:20" x14ac:dyDescent="0.35">
      <c r="D749" s="63"/>
      <c r="S749" s="63"/>
      <c r="T749" s="63"/>
    </row>
    <row r="750" spans="4:20" x14ac:dyDescent="0.35">
      <c r="D750" s="63"/>
      <c r="S750" s="63"/>
      <c r="T750" s="63"/>
    </row>
    <row r="751" spans="4:20" x14ac:dyDescent="0.35">
      <c r="D751" s="63"/>
      <c r="S751" s="63"/>
      <c r="T751" s="63"/>
    </row>
    <row r="752" spans="4:20" x14ac:dyDescent="0.35">
      <c r="D752" s="63"/>
      <c r="S752" s="63"/>
      <c r="T752" s="63"/>
    </row>
    <row r="753" spans="4:20" x14ac:dyDescent="0.35">
      <c r="D753" s="63"/>
      <c r="S753" s="63"/>
      <c r="T753" s="63"/>
    </row>
    <row r="754" spans="4:20" x14ac:dyDescent="0.35">
      <c r="D754" s="63"/>
      <c r="S754" s="63"/>
      <c r="T754" s="63"/>
    </row>
    <row r="755" spans="4:20" x14ac:dyDescent="0.35">
      <c r="D755" s="63"/>
      <c r="S755" s="63"/>
      <c r="T755" s="63"/>
    </row>
    <row r="756" spans="4:20" x14ac:dyDescent="0.35">
      <c r="D756" s="63"/>
      <c r="S756" s="63"/>
      <c r="T756" s="63"/>
    </row>
    <row r="757" spans="4:20" x14ac:dyDescent="0.35">
      <c r="D757" s="63"/>
      <c r="S757" s="63"/>
      <c r="T757" s="63"/>
    </row>
    <row r="758" spans="4:20" x14ac:dyDescent="0.35">
      <c r="D758" s="63"/>
      <c r="S758" s="63"/>
      <c r="T758" s="63"/>
    </row>
    <row r="759" spans="4:20" x14ac:dyDescent="0.35">
      <c r="D759" s="63"/>
      <c r="S759" s="63"/>
      <c r="T759" s="63"/>
    </row>
    <row r="760" spans="4:20" x14ac:dyDescent="0.35">
      <c r="D760" s="63"/>
      <c r="S760" s="63"/>
      <c r="T760" s="63"/>
    </row>
    <row r="761" spans="4:20" x14ac:dyDescent="0.35">
      <c r="D761" s="63"/>
      <c r="S761" s="63"/>
      <c r="T761" s="63"/>
    </row>
    <row r="762" spans="4:20" x14ac:dyDescent="0.35">
      <c r="D762" s="63"/>
      <c r="S762" s="63"/>
      <c r="T762" s="63"/>
    </row>
    <row r="763" spans="4:20" x14ac:dyDescent="0.35">
      <c r="D763" s="63"/>
      <c r="S763" s="63"/>
      <c r="T763" s="63"/>
    </row>
    <row r="764" spans="4:20" x14ac:dyDescent="0.35">
      <c r="D764" s="63"/>
      <c r="S764" s="63"/>
      <c r="T764" s="63"/>
    </row>
    <row r="765" spans="4:20" x14ac:dyDescent="0.35">
      <c r="D765" s="63"/>
      <c r="S765" s="63"/>
      <c r="T765" s="63"/>
    </row>
    <row r="766" spans="4:20" x14ac:dyDescent="0.35">
      <c r="D766" s="63"/>
      <c r="S766" s="63"/>
      <c r="T766" s="63"/>
    </row>
    <row r="767" spans="4:20" x14ac:dyDescent="0.35">
      <c r="D767" s="63"/>
      <c r="S767" s="63"/>
      <c r="T767" s="63"/>
    </row>
    <row r="768" spans="4:20" x14ac:dyDescent="0.35">
      <c r="D768" s="63"/>
      <c r="S768" s="63"/>
      <c r="T768" s="63"/>
    </row>
    <row r="769" spans="4:20" x14ac:dyDescent="0.35">
      <c r="D769" s="63"/>
      <c r="S769" s="63"/>
      <c r="T769" s="63"/>
    </row>
    <row r="770" spans="4:20" x14ac:dyDescent="0.35">
      <c r="D770" s="63"/>
      <c r="S770" s="63"/>
      <c r="T770" s="63"/>
    </row>
    <row r="771" spans="4:20" x14ac:dyDescent="0.35">
      <c r="D771" s="63"/>
      <c r="S771" s="63"/>
      <c r="T771" s="63"/>
    </row>
    <row r="772" spans="4:20" x14ac:dyDescent="0.35">
      <c r="D772" s="63"/>
      <c r="S772" s="63"/>
      <c r="T772" s="63"/>
    </row>
    <row r="773" spans="4:20" x14ac:dyDescent="0.35">
      <c r="D773" s="63"/>
      <c r="S773" s="63"/>
      <c r="T773" s="63"/>
    </row>
    <row r="774" spans="4:20" x14ac:dyDescent="0.35">
      <c r="D774" s="63"/>
      <c r="S774" s="63"/>
      <c r="T774" s="63"/>
    </row>
    <row r="775" spans="4:20" x14ac:dyDescent="0.35">
      <c r="D775" s="63"/>
      <c r="S775" s="63"/>
      <c r="T775" s="63"/>
    </row>
    <row r="776" spans="4:20" x14ac:dyDescent="0.35">
      <c r="D776" s="63"/>
      <c r="S776" s="63"/>
      <c r="T776" s="63"/>
    </row>
    <row r="777" spans="4:20" x14ac:dyDescent="0.35">
      <c r="D777" s="63"/>
      <c r="S777" s="63"/>
      <c r="T777" s="63"/>
    </row>
    <row r="778" spans="4:20" x14ac:dyDescent="0.35">
      <c r="D778" s="63"/>
      <c r="S778" s="63"/>
      <c r="T778" s="63"/>
    </row>
    <row r="779" spans="4:20" x14ac:dyDescent="0.35">
      <c r="D779" s="63"/>
      <c r="S779" s="63"/>
      <c r="T779" s="63"/>
    </row>
    <row r="780" spans="4:20" x14ac:dyDescent="0.35">
      <c r="D780" s="63"/>
      <c r="S780" s="63"/>
      <c r="T780" s="63"/>
    </row>
    <row r="781" spans="4:20" x14ac:dyDescent="0.35">
      <c r="D781" s="63"/>
      <c r="S781" s="63"/>
      <c r="T781" s="63"/>
    </row>
    <row r="782" spans="4:20" x14ac:dyDescent="0.35">
      <c r="D782" s="63"/>
      <c r="S782" s="63"/>
      <c r="T782" s="63"/>
    </row>
    <row r="783" spans="4:20" x14ac:dyDescent="0.35">
      <c r="D783" s="63"/>
      <c r="S783" s="63"/>
      <c r="T783" s="63"/>
    </row>
    <row r="784" spans="4:20" x14ac:dyDescent="0.35">
      <c r="D784" s="63"/>
      <c r="S784" s="63"/>
      <c r="T784" s="63"/>
    </row>
    <row r="785" spans="4:20" x14ac:dyDescent="0.35">
      <c r="D785" s="63"/>
      <c r="S785" s="63"/>
      <c r="T785" s="63"/>
    </row>
    <row r="786" spans="4:20" x14ac:dyDescent="0.35">
      <c r="D786" s="63"/>
      <c r="S786" s="63"/>
      <c r="T786" s="63"/>
    </row>
    <row r="787" spans="4:20" x14ac:dyDescent="0.35">
      <c r="D787" s="63"/>
      <c r="S787" s="63"/>
      <c r="T787" s="63"/>
    </row>
    <row r="788" spans="4:20" x14ac:dyDescent="0.35">
      <c r="D788" s="63"/>
      <c r="S788" s="63"/>
      <c r="T788" s="63"/>
    </row>
    <row r="789" spans="4:20" x14ac:dyDescent="0.35">
      <c r="D789" s="63"/>
      <c r="S789" s="63"/>
      <c r="T789" s="63"/>
    </row>
    <row r="790" spans="4:20" x14ac:dyDescent="0.35">
      <c r="D790" s="63"/>
      <c r="S790" s="63"/>
      <c r="T790" s="63"/>
    </row>
    <row r="791" spans="4:20" x14ac:dyDescent="0.35">
      <c r="D791" s="63"/>
      <c r="S791" s="63"/>
      <c r="T791" s="63"/>
    </row>
    <row r="792" spans="4:20" x14ac:dyDescent="0.35">
      <c r="D792" s="63"/>
      <c r="S792" s="63"/>
      <c r="T792" s="63"/>
    </row>
    <row r="793" spans="4:20" x14ac:dyDescent="0.35">
      <c r="D793" s="63"/>
      <c r="S793" s="63"/>
      <c r="T793" s="63"/>
    </row>
    <row r="794" spans="4:20" x14ac:dyDescent="0.35">
      <c r="D794" s="63"/>
      <c r="S794" s="63"/>
      <c r="T794" s="63"/>
    </row>
    <row r="795" spans="4:20" x14ac:dyDescent="0.35">
      <c r="D795" s="63"/>
      <c r="S795" s="63"/>
      <c r="T795" s="63"/>
    </row>
    <row r="796" spans="4:20" x14ac:dyDescent="0.35">
      <c r="D796" s="63"/>
      <c r="S796" s="63"/>
      <c r="T796" s="63"/>
    </row>
    <row r="797" spans="4:20" x14ac:dyDescent="0.35">
      <c r="D797" s="63"/>
      <c r="S797" s="63"/>
      <c r="T797" s="63"/>
    </row>
    <row r="798" spans="4:20" x14ac:dyDescent="0.35">
      <c r="D798" s="63"/>
      <c r="S798" s="63"/>
      <c r="T798" s="63"/>
    </row>
    <row r="799" spans="4:20" x14ac:dyDescent="0.35">
      <c r="D799" s="63"/>
      <c r="S799" s="63"/>
      <c r="T799" s="63"/>
    </row>
    <row r="800" spans="4:20" x14ac:dyDescent="0.35">
      <c r="D800" s="63"/>
      <c r="S800" s="63"/>
      <c r="T800" s="63"/>
    </row>
    <row r="801" spans="4:20" x14ac:dyDescent="0.35">
      <c r="D801" s="63"/>
      <c r="S801" s="63"/>
      <c r="T801" s="63"/>
    </row>
    <row r="802" spans="4:20" x14ac:dyDescent="0.35">
      <c r="D802" s="63"/>
      <c r="S802" s="63"/>
      <c r="T802" s="63"/>
    </row>
    <row r="803" spans="4:20" x14ac:dyDescent="0.35">
      <c r="D803" s="63"/>
      <c r="S803" s="63"/>
      <c r="T803" s="63"/>
    </row>
    <row r="804" spans="4:20" x14ac:dyDescent="0.35">
      <c r="D804" s="63"/>
      <c r="S804" s="63"/>
      <c r="T804" s="63"/>
    </row>
    <row r="805" spans="4:20" x14ac:dyDescent="0.35">
      <c r="D805" s="63"/>
      <c r="S805" s="63"/>
      <c r="T805" s="63"/>
    </row>
    <row r="806" spans="4:20" x14ac:dyDescent="0.35">
      <c r="D806" s="63"/>
      <c r="S806" s="63"/>
      <c r="T806" s="63"/>
    </row>
    <row r="807" spans="4:20" x14ac:dyDescent="0.35">
      <c r="D807" s="63"/>
      <c r="S807" s="63"/>
      <c r="T807" s="63"/>
    </row>
    <row r="808" spans="4:20" x14ac:dyDescent="0.35">
      <c r="D808" s="63"/>
      <c r="S808" s="63"/>
      <c r="T808" s="63"/>
    </row>
    <row r="809" spans="4:20" x14ac:dyDescent="0.35">
      <c r="D809" s="63"/>
      <c r="S809" s="63"/>
      <c r="T809" s="63"/>
    </row>
    <row r="810" spans="4:20" x14ac:dyDescent="0.35">
      <c r="D810" s="63"/>
      <c r="S810" s="63"/>
      <c r="T810" s="63"/>
    </row>
    <row r="811" spans="4:20" x14ac:dyDescent="0.35">
      <c r="D811" s="63"/>
      <c r="S811" s="63"/>
      <c r="T811" s="63"/>
    </row>
    <row r="812" spans="4:20" x14ac:dyDescent="0.35">
      <c r="D812" s="63"/>
      <c r="S812" s="63"/>
      <c r="T812" s="63"/>
    </row>
    <row r="813" spans="4:20" x14ac:dyDescent="0.35">
      <c r="D813" s="63"/>
      <c r="S813" s="63"/>
      <c r="T813" s="63"/>
    </row>
    <row r="814" spans="4:20" x14ac:dyDescent="0.35">
      <c r="D814" s="63"/>
      <c r="S814" s="63"/>
      <c r="T814" s="63"/>
    </row>
    <row r="815" spans="4:20" x14ac:dyDescent="0.35">
      <c r="D815" s="63"/>
      <c r="S815" s="63"/>
      <c r="T815" s="63"/>
    </row>
    <row r="816" spans="4:20" x14ac:dyDescent="0.35">
      <c r="D816" s="63"/>
      <c r="S816" s="63"/>
      <c r="T816" s="63"/>
    </row>
    <row r="817" spans="4:20" x14ac:dyDescent="0.35">
      <c r="D817" s="63"/>
      <c r="S817" s="63"/>
      <c r="T817" s="63"/>
    </row>
    <row r="818" spans="4:20" x14ac:dyDescent="0.35">
      <c r="D818" s="63"/>
      <c r="S818" s="63"/>
      <c r="T818" s="63"/>
    </row>
    <row r="819" spans="4:20" x14ac:dyDescent="0.35">
      <c r="D819" s="63"/>
      <c r="S819" s="63"/>
      <c r="T819" s="63"/>
    </row>
    <row r="820" spans="4:20" x14ac:dyDescent="0.35">
      <c r="D820" s="63"/>
      <c r="S820" s="63"/>
      <c r="T820" s="63"/>
    </row>
    <row r="821" spans="4:20" x14ac:dyDescent="0.35">
      <c r="D821" s="63"/>
      <c r="S821" s="63"/>
      <c r="T821" s="63"/>
    </row>
    <row r="822" spans="4:20" x14ac:dyDescent="0.35">
      <c r="D822" s="63"/>
      <c r="S822" s="63"/>
      <c r="T822" s="63"/>
    </row>
    <row r="823" spans="4:20" x14ac:dyDescent="0.35">
      <c r="D823" s="63"/>
      <c r="S823" s="63"/>
      <c r="T823" s="63"/>
    </row>
    <row r="824" spans="4:20" x14ac:dyDescent="0.35">
      <c r="D824" s="63"/>
      <c r="S824" s="63"/>
      <c r="T824" s="63"/>
    </row>
    <row r="825" spans="4:20" x14ac:dyDescent="0.35">
      <c r="D825" s="63"/>
      <c r="S825" s="63"/>
      <c r="T825" s="63"/>
    </row>
    <row r="826" spans="4:20" x14ac:dyDescent="0.35">
      <c r="D826" s="63"/>
      <c r="S826" s="63"/>
      <c r="T826" s="63"/>
    </row>
    <row r="827" spans="4:20" x14ac:dyDescent="0.35">
      <c r="D827" s="63"/>
      <c r="S827" s="63"/>
      <c r="T827" s="63"/>
    </row>
    <row r="828" spans="4:20" x14ac:dyDescent="0.35">
      <c r="D828" s="63"/>
      <c r="S828" s="63"/>
      <c r="T828" s="63"/>
    </row>
    <row r="829" spans="4:20" x14ac:dyDescent="0.35">
      <c r="D829" s="63"/>
      <c r="S829" s="63"/>
      <c r="T829" s="63"/>
    </row>
    <row r="830" spans="4:20" x14ac:dyDescent="0.35">
      <c r="D830" s="63"/>
      <c r="S830" s="63"/>
      <c r="T830" s="63"/>
    </row>
    <row r="831" spans="4:20" x14ac:dyDescent="0.35">
      <c r="D831" s="63"/>
      <c r="S831" s="63"/>
      <c r="T831" s="63"/>
    </row>
    <row r="832" spans="4:20" x14ac:dyDescent="0.35">
      <c r="D832" s="63"/>
      <c r="S832" s="63"/>
      <c r="T832" s="63"/>
    </row>
    <row r="833" spans="4:20" x14ac:dyDescent="0.35">
      <c r="D833" s="63"/>
      <c r="S833" s="63"/>
      <c r="T833" s="63"/>
    </row>
    <row r="834" spans="4:20" x14ac:dyDescent="0.35">
      <c r="D834" s="63"/>
      <c r="S834" s="63"/>
      <c r="T834" s="63"/>
    </row>
    <row r="835" spans="4:20" x14ac:dyDescent="0.35">
      <c r="D835" s="63"/>
      <c r="S835" s="63"/>
      <c r="T835" s="63"/>
    </row>
    <row r="836" spans="4:20" x14ac:dyDescent="0.35">
      <c r="D836" s="63"/>
      <c r="S836" s="63"/>
      <c r="T836" s="63"/>
    </row>
    <row r="837" spans="4:20" x14ac:dyDescent="0.35">
      <c r="D837" s="63"/>
      <c r="S837" s="63"/>
      <c r="T837" s="63"/>
    </row>
    <row r="838" spans="4:20" x14ac:dyDescent="0.35">
      <c r="D838" s="63"/>
      <c r="S838" s="63"/>
      <c r="T838" s="63"/>
    </row>
    <row r="839" spans="4:20" x14ac:dyDescent="0.35">
      <c r="D839" s="63"/>
      <c r="S839" s="63"/>
      <c r="T839" s="63"/>
    </row>
    <row r="840" spans="4:20" x14ac:dyDescent="0.35">
      <c r="D840" s="63"/>
      <c r="S840" s="63"/>
      <c r="T840" s="63"/>
    </row>
    <row r="841" spans="4:20" x14ac:dyDescent="0.35">
      <c r="D841" s="63"/>
      <c r="S841" s="63"/>
      <c r="T841" s="63"/>
    </row>
    <row r="842" spans="4:20" x14ac:dyDescent="0.35">
      <c r="D842" s="63"/>
      <c r="S842" s="63"/>
      <c r="T842" s="63"/>
    </row>
    <row r="843" spans="4:20" x14ac:dyDescent="0.35">
      <c r="D843" s="63"/>
      <c r="S843" s="63"/>
      <c r="T843" s="63"/>
    </row>
    <row r="844" spans="4:20" x14ac:dyDescent="0.35">
      <c r="D844" s="63"/>
      <c r="S844" s="63"/>
      <c r="T844" s="63"/>
    </row>
    <row r="845" spans="4:20" x14ac:dyDescent="0.35">
      <c r="D845" s="63"/>
      <c r="S845" s="63"/>
      <c r="T845" s="63"/>
    </row>
    <row r="846" spans="4:20" x14ac:dyDescent="0.35">
      <c r="D846" s="63"/>
      <c r="S846" s="63"/>
      <c r="T846" s="63"/>
    </row>
    <row r="847" spans="4:20" x14ac:dyDescent="0.35">
      <c r="D847" s="63"/>
      <c r="S847" s="63"/>
      <c r="T847" s="63"/>
    </row>
    <row r="848" spans="4:20" x14ac:dyDescent="0.35">
      <c r="D848" s="63"/>
      <c r="S848" s="63"/>
      <c r="T848" s="63"/>
    </row>
    <row r="849" spans="4:20" x14ac:dyDescent="0.35">
      <c r="D849" s="63"/>
      <c r="S849" s="63"/>
      <c r="T849" s="63"/>
    </row>
    <row r="850" spans="4:20" x14ac:dyDescent="0.35">
      <c r="D850" s="63"/>
      <c r="S850" s="63"/>
      <c r="T850" s="63"/>
    </row>
    <row r="851" spans="4:20" x14ac:dyDescent="0.35">
      <c r="D851" s="63"/>
      <c r="S851" s="63"/>
      <c r="T851" s="63"/>
    </row>
    <row r="852" spans="4:20" x14ac:dyDescent="0.35">
      <c r="D852" s="63"/>
      <c r="S852" s="63"/>
      <c r="T852" s="63"/>
    </row>
    <row r="853" spans="4:20" x14ac:dyDescent="0.35">
      <c r="D853" s="63"/>
      <c r="S853" s="63"/>
      <c r="T853" s="63"/>
    </row>
    <row r="854" spans="4:20" x14ac:dyDescent="0.35">
      <c r="D854" s="63"/>
      <c r="S854" s="63"/>
      <c r="T854" s="63"/>
    </row>
    <row r="855" spans="4:20" x14ac:dyDescent="0.35">
      <c r="D855" s="63"/>
      <c r="S855" s="63"/>
      <c r="T855" s="63"/>
    </row>
    <row r="856" spans="4:20" x14ac:dyDescent="0.35">
      <c r="D856" s="63"/>
      <c r="S856" s="63"/>
      <c r="T856" s="63"/>
    </row>
    <row r="857" spans="4:20" x14ac:dyDescent="0.35">
      <c r="D857" s="63"/>
      <c r="S857" s="63"/>
      <c r="T857" s="63"/>
    </row>
    <row r="858" spans="4:20" x14ac:dyDescent="0.35">
      <c r="D858" s="63"/>
      <c r="S858" s="63"/>
      <c r="T858" s="63"/>
    </row>
    <row r="859" spans="4:20" x14ac:dyDescent="0.35">
      <c r="D859" s="63"/>
      <c r="S859" s="63"/>
      <c r="T859" s="63"/>
    </row>
    <row r="860" spans="4:20" x14ac:dyDescent="0.35">
      <c r="D860" s="63"/>
      <c r="S860" s="63"/>
      <c r="T860" s="63"/>
    </row>
    <row r="861" spans="4:20" x14ac:dyDescent="0.35">
      <c r="D861" s="63"/>
      <c r="S861" s="63"/>
      <c r="T861" s="63"/>
    </row>
    <row r="862" spans="4:20" x14ac:dyDescent="0.35">
      <c r="D862" s="63"/>
      <c r="S862" s="63"/>
      <c r="T862" s="63"/>
    </row>
    <row r="863" spans="4:20" x14ac:dyDescent="0.35">
      <c r="D863" s="63"/>
      <c r="S863" s="63"/>
      <c r="T863" s="63"/>
    </row>
    <row r="864" spans="4:20" x14ac:dyDescent="0.35">
      <c r="D864" s="63"/>
      <c r="S864" s="63"/>
      <c r="T864" s="63"/>
    </row>
    <row r="865" spans="4:20" x14ac:dyDescent="0.35">
      <c r="D865" s="63"/>
      <c r="S865" s="63"/>
      <c r="T865" s="63"/>
    </row>
    <row r="866" spans="4:20" x14ac:dyDescent="0.35">
      <c r="D866" s="63"/>
      <c r="S866" s="63"/>
      <c r="T866" s="63"/>
    </row>
    <row r="867" spans="4:20" x14ac:dyDescent="0.35">
      <c r="D867" s="63"/>
      <c r="S867" s="63"/>
      <c r="T867" s="63"/>
    </row>
    <row r="868" spans="4:20" x14ac:dyDescent="0.35">
      <c r="D868" s="63"/>
      <c r="S868" s="63"/>
      <c r="T868" s="63"/>
    </row>
    <row r="869" spans="4:20" x14ac:dyDescent="0.35">
      <c r="D869" s="63"/>
      <c r="S869" s="63"/>
      <c r="T869" s="63"/>
    </row>
    <row r="870" spans="4:20" x14ac:dyDescent="0.35">
      <c r="D870" s="63"/>
      <c r="S870" s="63"/>
      <c r="T870" s="63"/>
    </row>
    <row r="871" spans="4:20" x14ac:dyDescent="0.35">
      <c r="D871" s="63"/>
      <c r="S871" s="63"/>
      <c r="T871" s="63"/>
    </row>
    <row r="872" spans="4:20" x14ac:dyDescent="0.35">
      <c r="D872" s="63"/>
      <c r="S872" s="63"/>
      <c r="T872" s="63"/>
    </row>
    <row r="873" spans="4:20" x14ac:dyDescent="0.35">
      <c r="D873" s="63"/>
      <c r="S873" s="63"/>
      <c r="T873" s="63"/>
    </row>
    <row r="874" spans="4:20" x14ac:dyDescent="0.35">
      <c r="D874" s="63"/>
      <c r="S874" s="63"/>
      <c r="T874" s="63"/>
    </row>
    <row r="875" spans="4:20" x14ac:dyDescent="0.35">
      <c r="D875" s="63"/>
      <c r="S875" s="63"/>
      <c r="T875" s="63"/>
    </row>
    <row r="876" spans="4:20" x14ac:dyDescent="0.35">
      <c r="D876" s="63"/>
      <c r="S876" s="63"/>
      <c r="T876" s="63"/>
    </row>
    <row r="877" spans="4:20" x14ac:dyDescent="0.35">
      <c r="D877" s="63"/>
      <c r="S877" s="63"/>
      <c r="T877" s="63"/>
    </row>
    <row r="878" spans="4:20" x14ac:dyDescent="0.35">
      <c r="D878" s="63"/>
      <c r="S878" s="63"/>
      <c r="T878" s="63"/>
    </row>
    <row r="879" spans="4:20" x14ac:dyDescent="0.35">
      <c r="D879" s="63"/>
      <c r="S879" s="63"/>
      <c r="T879" s="63"/>
    </row>
    <row r="880" spans="4:20" x14ac:dyDescent="0.35">
      <c r="D880" s="63"/>
      <c r="S880" s="63"/>
      <c r="T880" s="63"/>
    </row>
    <row r="881" spans="4:20" x14ac:dyDescent="0.35">
      <c r="D881" s="63"/>
      <c r="S881" s="63"/>
      <c r="T881" s="63"/>
    </row>
    <row r="882" spans="4:20" x14ac:dyDescent="0.35">
      <c r="D882" s="63"/>
      <c r="S882" s="63"/>
      <c r="T882" s="63"/>
    </row>
    <row r="883" spans="4:20" x14ac:dyDescent="0.35">
      <c r="D883" s="63"/>
      <c r="S883" s="63"/>
      <c r="T883" s="63"/>
    </row>
    <row r="884" spans="4:20" x14ac:dyDescent="0.35">
      <c r="D884" s="63"/>
      <c r="S884" s="63"/>
      <c r="T884" s="63"/>
    </row>
    <row r="885" spans="4:20" x14ac:dyDescent="0.35">
      <c r="D885" s="63"/>
      <c r="S885" s="63"/>
      <c r="T885" s="63"/>
    </row>
    <row r="886" spans="4:20" x14ac:dyDescent="0.35">
      <c r="D886" s="63"/>
      <c r="S886" s="63"/>
      <c r="T886" s="63"/>
    </row>
    <row r="887" spans="4:20" x14ac:dyDescent="0.35">
      <c r="D887" s="63"/>
      <c r="S887" s="63"/>
      <c r="T887" s="63"/>
    </row>
    <row r="888" spans="4:20" x14ac:dyDescent="0.35">
      <c r="D888" s="63"/>
      <c r="S888" s="63"/>
      <c r="T888" s="63"/>
    </row>
    <row r="889" spans="4:20" x14ac:dyDescent="0.35">
      <c r="D889" s="63"/>
      <c r="S889" s="63"/>
      <c r="T889" s="63"/>
    </row>
    <row r="890" spans="4:20" x14ac:dyDescent="0.35">
      <c r="D890" s="63"/>
      <c r="S890" s="63"/>
      <c r="T890" s="63"/>
    </row>
    <row r="891" spans="4:20" x14ac:dyDescent="0.35">
      <c r="D891" s="63"/>
      <c r="S891" s="63"/>
      <c r="T891" s="63"/>
    </row>
    <row r="892" spans="4:20" x14ac:dyDescent="0.35">
      <c r="D892" s="63"/>
      <c r="S892" s="63"/>
      <c r="T892" s="63"/>
    </row>
    <row r="893" spans="4:20" x14ac:dyDescent="0.35">
      <c r="D893" s="63"/>
      <c r="S893" s="63"/>
      <c r="T893" s="63"/>
    </row>
    <row r="894" spans="4:20" x14ac:dyDescent="0.35">
      <c r="D894" s="63"/>
      <c r="S894" s="63"/>
      <c r="T894" s="63"/>
    </row>
    <row r="895" spans="4:20" x14ac:dyDescent="0.35">
      <c r="D895" s="63"/>
      <c r="S895" s="63"/>
      <c r="T895" s="63"/>
    </row>
    <row r="896" spans="4:20" x14ac:dyDescent="0.35">
      <c r="D896" s="63"/>
      <c r="S896" s="63"/>
      <c r="T896" s="63"/>
    </row>
    <row r="897" spans="4:20" x14ac:dyDescent="0.35">
      <c r="D897" s="63"/>
      <c r="S897" s="63"/>
      <c r="T897" s="63"/>
    </row>
    <row r="898" spans="4:20" x14ac:dyDescent="0.35">
      <c r="D898" s="63"/>
      <c r="S898" s="63"/>
      <c r="T898" s="63"/>
    </row>
    <row r="899" spans="4:20" x14ac:dyDescent="0.35">
      <c r="D899" s="63"/>
      <c r="S899" s="63"/>
      <c r="T899" s="63"/>
    </row>
    <row r="900" spans="4:20" x14ac:dyDescent="0.35">
      <c r="D900" s="63"/>
      <c r="S900" s="63"/>
      <c r="T900" s="63"/>
    </row>
    <row r="901" spans="4:20" x14ac:dyDescent="0.35">
      <c r="D901" s="63"/>
      <c r="S901" s="63"/>
      <c r="T901" s="63"/>
    </row>
    <row r="902" spans="4:20" x14ac:dyDescent="0.35">
      <c r="D902" s="63"/>
      <c r="S902" s="63"/>
      <c r="T902" s="63"/>
    </row>
    <row r="903" spans="4:20" x14ac:dyDescent="0.35">
      <c r="D903" s="63"/>
      <c r="S903" s="63"/>
      <c r="T903" s="63"/>
    </row>
    <row r="904" spans="4:20" x14ac:dyDescent="0.35">
      <c r="D904" s="63"/>
      <c r="S904" s="63"/>
      <c r="T904" s="63"/>
    </row>
    <row r="905" spans="4:20" x14ac:dyDescent="0.35">
      <c r="D905" s="63"/>
      <c r="S905" s="63"/>
      <c r="T905" s="63"/>
    </row>
    <row r="906" spans="4:20" x14ac:dyDescent="0.35">
      <c r="D906" s="63"/>
      <c r="S906" s="63"/>
      <c r="T906" s="63"/>
    </row>
    <row r="907" spans="4:20" x14ac:dyDescent="0.35">
      <c r="D907" s="63"/>
      <c r="S907" s="63"/>
      <c r="T907" s="63"/>
    </row>
    <row r="908" spans="4:20" x14ac:dyDescent="0.35">
      <c r="D908" s="63"/>
      <c r="S908" s="63"/>
      <c r="T908" s="63"/>
    </row>
    <row r="909" spans="4:20" x14ac:dyDescent="0.35">
      <c r="D909" s="63"/>
      <c r="S909" s="63"/>
      <c r="T909" s="63"/>
    </row>
    <row r="910" spans="4:20" x14ac:dyDescent="0.35">
      <c r="D910" s="63"/>
      <c r="S910" s="63"/>
      <c r="T910" s="63"/>
    </row>
    <row r="911" spans="4:20" x14ac:dyDescent="0.35">
      <c r="D911" s="63"/>
      <c r="S911" s="63"/>
      <c r="T911" s="63"/>
    </row>
    <row r="912" spans="4:20" x14ac:dyDescent="0.35">
      <c r="D912" s="63"/>
      <c r="S912" s="63"/>
      <c r="T912" s="63"/>
    </row>
    <row r="913" spans="4:20" x14ac:dyDescent="0.35">
      <c r="D913" s="63"/>
      <c r="S913" s="63"/>
      <c r="T913" s="63"/>
    </row>
    <row r="914" spans="4:20" x14ac:dyDescent="0.35">
      <c r="D914" s="63"/>
      <c r="S914" s="63"/>
      <c r="T914" s="63"/>
    </row>
    <row r="915" spans="4:20" x14ac:dyDescent="0.35">
      <c r="D915" s="63"/>
      <c r="S915" s="63"/>
      <c r="T915" s="63"/>
    </row>
    <row r="916" spans="4:20" x14ac:dyDescent="0.35">
      <c r="D916" s="63"/>
      <c r="S916" s="63"/>
      <c r="T916" s="63"/>
    </row>
    <row r="917" spans="4:20" x14ac:dyDescent="0.35">
      <c r="D917" s="63"/>
      <c r="S917" s="63"/>
      <c r="T917" s="63"/>
    </row>
    <row r="918" spans="4:20" x14ac:dyDescent="0.35">
      <c r="D918" s="63"/>
      <c r="S918" s="63"/>
      <c r="T918" s="63"/>
    </row>
    <row r="919" spans="4:20" x14ac:dyDescent="0.35">
      <c r="D919" s="63"/>
      <c r="S919" s="63"/>
      <c r="T919" s="63"/>
    </row>
    <row r="920" spans="4:20" x14ac:dyDescent="0.35">
      <c r="D920" s="63"/>
      <c r="S920" s="63"/>
      <c r="T920" s="63"/>
    </row>
    <row r="921" spans="4:20" x14ac:dyDescent="0.35">
      <c r="D921" s="63"/>
      <c r="S921" s="63"/>
      <c r="T921" s="63"/>
    </row>
    <row r="922" spans="4:20" x14ac:dyDescent="0.35">
      <c r="D922" s="63"/>
      <c r="S922" s="63"/>
      <c r="T922" s="63"/>
    </row>
    <row r="923" spans="4:20" x14ac:dyDescent="0.35">
      <c r="D923" s="63"/>
      <c r="S923" s="63"/>
      <c r="T923" s="63"/>
    </row>
    <row r="924" spans="4:20" x14ac:dyDescent="0.35">
      <c r="D924" s="63"/>
      <c r="S924" s="63"/>
      <c r="T924" s="63"/>
    </row>
    <row r="925" spans="4:20" x14ac:dyDescent="0.35">
      <c r="D925" s="63"/>
      <c r="S925" s="63"/>
      <c r="T925" s="63"/>
    </row>
    <row r="926" spans="4:20" x14ac:dyDescent="0.35">
      <c r="D926" s="63"/>
      <c r="S926" s="63"/>
      <c r="T926" s="63"/>
    </row>
    <row r="927" spans="4:20" x14ac:dyDescent="0.35">
      <c r="D927" s="63"/>
      <c r="S927" s="63"/>
      <c r="T927" s="63"/>
    </row>
    <row r="928" spans="4:20" x14ac:dyDescent="0.35">
      <c r="D928" s="63"/>
      <c r="S928" s="63"/>
      <c r="T928" s="63"/>
    </row>
    <row r="929" spans="4:20" x14ac:dyDescent="0.35">
      <c r="D929" s="63"/>
      <c r="S929" s="63"/>
      <c r="T929" s="63"/>
    </row>
    <row r="930" spans="4:20" x14ac:dyDescent="0.35">
      <c r="D930" s="63"/>
      <c r="S930" s="63"/>
      <c r="T930" s="63"/>
    </row>
    <row r="931" spans="4:20" x14ac:dyDescent="0.35">
      <c r="D931" s="63"/>
      <c r="S931" s="63"/>
      <c r="T931" s="63"/>
    </row>
    <row r="932" spans="4:20" x14ac:dyDescent="0.35">
      <c r="D932" s="63"/>
      <c r="S932" s="63"/>
      <c r="T932" s="63"/>
    </row>
    <row r="933" spans="4:20" x14ac:dyDescent="0.35">
      <c r="D933" s="63"/>
      <c r="S933" s="63"/>
      <c r="T933" s="63"/>
    </row>
    <row r="934" spans="4:20" x14ac:dyDescent="0.35">
      <c r="D934" s="63"/>
      <c r="S934" s="63"/>
      <c r="T934" s="63"/>
    </row>
    <row r="935" spans="4:20" x14ac:dyDescent="0.35">
      <c r="D935" s="63"/>
      <c r="S935" s="63"/>
      <c r="T935" s="63"/>
    </row>
    <row r="936" spans="4:20" x14ac:dyDescent="0.35">
      <c r="D936" s="63"/>
      <c r="S936" s="63"/>
      <c r="T936" s="63"/>
    </row>
    <row r="937" spans="4:20" x14ac:dyDescent="0.35">
      <c r="D937" s="63"/>
      <c r="S937" s="63"/>
      <c r="T937" s="63"/>
    </row>
    <row r="938" spans="4:20" x14ac:dyDescent="0.35">
      <c r="D938" s="63"/>
      <c r="S938" s="63"/>
      <c r="T938" s="63"/>
    </row>
    <row r="939" spans="4:20" x14ac:dyDescent="0.35">
      <c r="D939" s="63"/>
      <c r="S939" s="63"/>
      <c r="T939" s="63"/>
    </row>
    <row r="940" spans="4:20" x14ac:dyDescent="0.35">
      <c r="D940" s="63"/>
      <c r="S940" s="63"/>
      <c r="T940" s="63"/>
    </row>
    <row r="941" spans="4:20" x14ac:dyDescent="0.35">
      <c r="D941" s="63"/>
      <c r="S941" s="63"/>
      <c r="T941" s="63"/>
    </row>
    <row r="942" spans="4:20" x14ac:dyDescent="0.35">
      <c r="D942" s="63"/>
      <c r="S942" s="63"/>
      <c r="T942" s="63"/>
    </row>
    <row r="943" spans="4:20" x14ac:dyDescent="0.35">
      <c r="D943" s="63"/>
      <c r="S943" s="63"/>
      <c r="T943" s="63"/>
    </row>
    <row r="944" spans="4:20" x14ac:dyDescent="0.35">
      <c r="D944" s="63"/>
      <c r="S944" s="63"/>
      <c r="T944" s="63"/>
    </row>
    <row r="945" spans="4:20" x14ac:dyDescent="0.35">
      <c r="D945" s="63"/>
      <c r="S945" s="63"/>
      <c r="T945" s="63"/>
    </row>
    <row r="946" spans="4:20" x14ac:dyDescent="0.35">
      <c r="D946" s="63"/>
      <c r="S946" s="63"/>
      <c r="T946" s="63"/>
    </row>
    <row r="947" spans="4:20" x14ac:dyDescent="0.35">
      <c r="D947" s="63"/>
      <c r="S947" s="63"/>
      <c r="T947" s="63"/>
    </row>
    <row r="948" spans="4:20" x14ac:dyDescent="0.35">
      <c r="D948" s="63"/>
      <c r="S948" s="63"/>
      <c r="T948" s="63"/>
    </row>
    <row r="949" spans="4:20" x14ac:dyDescent="0.35">
      <c r="D949" s="63"/>
      <c r="S949" s="63"/>
      <c r="T949" s="63"/>
    </row>
    <row r="950" spans="4:20" x14ac:dyDescent="0.35">
      <c r="D950" s="63"/>
      <c r="S950" s="63"/>
      <c r="T950" s="63"/>
    </row>
    <row r="951" spans="4:20" x14ac:dyDescent="0.35">
      <c r="D951" s="63"/>
      <c r="S951" s="63"/>
      <c r="T951" s="63"/>
    </row>
    <row r="952" spans="4:20" x14ac:dyDescent="0.35">
      <c r="D952" s="63"/>
      <c r="S952" s="63"/>
      <c r="T952" s="63"/>
    </row>
    <row r="953" spans="4:20" x14ac:dyDescent="0.35">
      <c r="D953" s="63"/>
      <c r="S953" s="63"/>
      <c r="T953" s="63"/>
    </row>
    <row r="954" spans="4:20" x14ac:dyDescent="0.35">
      <c r="D954" s="63"/>
      <c r="S954" s="63"/>
      <c r="T954" s="63"/>
    </row>
    <row r="955" spans="4:20" x14ac:dyDescent="0.35">
      <c r="D955" s="63"/>
      <c r="S955" s="63"/>
      <c r="T955" s="63"/>
    </row>
    <row r="956" spans="4:20" x14ac:dyDescent="0.35">
      <c r="D956" s="63"/>
      <c r="S956" s="63"/>
      <c r="T956" s="63"/>
    </row>
    <row r="957" spans="4:20" x14ac:dyDescent="0.35">
      <c r="D957" s="63"/>
      <c r="S957" s="63"/>
      <c r="T957" s="63"/>
    </row>
    <row r="958" spans="4:20" x14ac:dyDescent="0.35">
      <c r="D958" s="63"/>
      <c r="S958" s="63"/>
      <c r="T958" s="63"/>
    </row>
    <row r="959" spans="4:20" x14ac:dyDescent="0.35">
      <c r="D959" s="63"/>
      <c r="S959" s="63"/>
      <c r="T959" s="63"/>
    </row>
    <row r="960" spans="4:20" x14ac:dyDescent="0.35">
      <c r="D960" s="63"/>
      <c r="S960" s="63"/>
      <c r="T960" s="63"/>
    </row>
    <row r="961" spans="4:20" x14ac:dyDescent="0.35">
      <c r="D961" s="63"/>
      <c r="S961" s="63"/>
      <c r="T961" s="63"/>
    </row>
    <row r="962" spans="4:20" x14ac:dyDescent="0.35">
      <c r="D962" s="63"/>
      <c r="S962" s="63"/>
      <c r="T962" s="63"/>
    </row>
    <row r="963" spans="4:20" x14ac:dyDescent="0.35">
      <c r="D963" s="63"/>
      <c r="S963" s="63"/>
      <c r="T963" s="63"/>
    </row>
    <row r="964" spans="4:20" x14ac:dyDescent="0.35">
      <c r="D964" s="63"/>
      <c r="S964" s="63"/>
      <c r="T964" s="63"/>
    </row>
    <row r="965" spans="4:20" x14ac:dyDescent="0.35">
      <c r="D965" s="63"/>
      <c r="S965" s="63"/>
      <c r="T965" s="63"/>
    </row>
    <row r="966" spans="4:20" x14ac:dyDescent="0.35">
      <c r="D966" s="63"/>
      <c r="S966" s="63"/>
      <c r="T966" s="63"/>
    </row>
    <row r="967" spans="4:20" x14ac:dyDescent="0.35">
      <c r="D967" s="63"/>
      <c r="S967" s="63"/>
      <c r="T967" s="63"/>
    </row>
    <row r="968" spans="4:20" x14ac:dyDescent="0.35">
      <c r="D968" s="63"/>
      <c r="S968" s="63"/>
      <c r="T968" s="63"/>
    </row>
    <row r="969" spans="4:20" x14ac:dyDescent="0.35">
      <c r="D969" s="63"/>
      <c r="S969" s="63"/>
      <c r="T969" s="63"/>
    </row>
    <row r="970" spans="4:20" x14ac:dyDescent="0.35">
      <c r="D970" s="63"/>
      <c r="S970" s="63"/>
      <c r="T970" s="63"/>
    </row>
    <row r="971" spans="4:20" x14ac:dyDescent="0.35">
      <c r="D971" s="63"/>
      <c r="S971" s="63"/>
      <c r="T971" s="63"/>
    </row>
    <row r="972" spans="4:20" x14ac:dyDescent="0.35">
      <c r="D972" s="63"/>
      <c r="S972" s="63"/>
      <c r="T972" s="63"/>
    </row>
    <row r="973" spans="4:20" x14ac:dyDescent="0.35">
      <c r="D973" s="63"/>
      <c r="S973" s="63"/>
      <c r="T973" s="63"/>
    </row>
    <row r="974" spans="4:20" x14ac:dyDescent="0.35">
      <c r="D974" s="63"/>
      <c r="S974" s="63"/>
      <c r="T974" s="63"/>
    </row>
    <row r="975" spans="4:20" x14ac:dyDescent="0.35">
      <c r="D975" s="63"/>
      <c r="S975" s="63"/>
      <c r="T975" s="63"/>
    </row>
    <row r="976" spans="4:20" x14ac:dyDescent="0.35">
      <c r="D976" s="63"/>
      <c r="S976" s="63"/>
      <c r="T976" s="63"/>
    </row>
    <row r="977" spans="4:20" x14ac:dyDescent="0.35">
      <c r="D977" s="63"/>
      <c r="S977" s="63"/>
      <c r="T977" s="63"/>
    </row>
    <row r="978" spans="4:20" x14ac:dyDescent="0.35">
      <c r="D978" s="63"/>
      <c r="S978" s="63"/>
      <c r="T978" s="63"/>
    </row>
    <row r="979" spans="4:20" x14ac:dyDescent="0.35">
      <c r="D979" s="63"/>
      <c r="S979" s="63"/>
      <c r="T979" s="63"/>
    </row>
    <row r="980" spans="4:20" x14ac:dyDescent="0.35">
      <c r="D980" s="63"/>
      <c r="S980" s="63"/>
      <c r="T980" s="63"/>
    </row>
    <row r="981" spans="4:20" x14ac:dyDescent="0.35">
      <c r="D981" s="63"/>
      <c r="S981" s="63"/>
      <c r="T981" s="63"/>
    </row>
    <row r="982" spans="4:20" x14ac:dyDescent="0.35">
      <c r="D982" s="63"/>
      <c r="S982" s="63"/>
      <c r="T982" s="63"/>
    </row>
    <row r="983" spans="4:20" x14ac:dyDescent="0.35">
      <c r="D983" s="63"/>
      <c r="S983" s="63"/>
      <c r="T983" s="63"/>
    </row>
    <row r="984" spans="4:20" x14ac:dyDescent="0.35">
      <c r="D984" s="63"/>
      <c r="S984" s="63"/>
      <c r="T984" s="63"/>
    </row>
    <row r="985" spans="4:20" x14ac:dyDescent="0.35">
      <c r="D985" s="63"/>
      <c r="S985" s="63"/>
      <c r="T985" s="63"/>
    </row>
    <row r="986" spans="4:20" x14ac:dyDescent="0.35">
      <c r="D986" s="63"/>
      <c r="S986" s="63"/>
      <c r="T986" s="63"/>
    </row>
    <row r="987" spans="4:20" x14ac:dyDescent="0.35">
      <c r="D987" s="63"/>
      <c r="S987" s="63"/>
      <c r="T987" s="63"/>
    </row>
    <row r="988" spans="4:20" x14ac:dyDescent="0.35">
      <c r="D988" s="63"/>
      <c r="S988" s="63"/>
      <c r="T988" s="63"/>
    </row>
    <row r="989" spans="4:20" x14ac:dyDescent="0.35">
      <c r="D989" s="63"/>
      <c r="S989" s="63"/>
      <c r="T989" s="63"/>
    </row>
    <row r="990" spans="4:20" x14ac:dyDescent="0.35">
      <c r="D990" s="63"/>
      <c r="S990" s="63"/>
      <c r="T990" s="63"/>
    </row>
    <row r="991" spans="4:20" x14ac:dyDescent="0.35">
      <c r="D991" s="63"/>
      <c r="S991" s="63"/>
      <c r="T991" s="63"/>
    </row>
    <row r="992" spans="4:20" x14ac:dyDescent="0.35">
      <c r="D992" s="63"/>
      <c r="S992" s="63"/>
      <c r="T992" s="63"/>
    </row>
    <row r="993" spans="4:20" x14ac:dyDescent="0.35">
      <c r="D993" s="63"/>
      <c r="S993" s="63"/>
      <c r="T993" s="63"/>
    </row>
    <row r="994" spans="4:20" x14ac:dyDescent="0.35">
      <c r="D994" s="63"/>
      <c r="S994" s="63"/>
      <c r="T994" s="63"/>
    </row>
    <row r="995" spans="4:20" x14ac:dyDescent="0.35">
      <c r="D995" s="63"/>
      <c r="S995" s="63"/>
      <c r="T995" s="63"/>
    </row>
    <row r="996" spans="4:20" x14ac:dyDescent="0.35">
      <c r="D996" s="63"/>
      <c r="S996" s="63"/>
      <c r="T996" s="63"/>
    </row>
    <row r="997" spans="4:20" x14ac:dyDescent="0.35">
      <c r="D997" s="63"/>
      <c r="S997" s="63"/>
      <c r="T997" s="63"/>
    </row>
    <row r="998" spans="4:20" x14ac:dyDescent="0.35">
      <c r="D998" s="63"/>
      <c r="S998" s="63"/>
      <c r="T998" s="63"/>
    </row>
    <row r="999" spans="4:20" x14ac:dyDescent="0.35">
      <c r="D999" s="63"/>
      <c r="S999" s="63"/>
      <c r="T999" s="63"/>
    </row>
    <row r="1000" spans="4:20" x14ac:dyDescent="0.35">
      <c r="D1000" s="63"/>
      <c r="S1000" s="63"/>
      <c r="T1000" s="63"/>
    </row>
    <row r="1001" spans="4:20" x14ac:dyDescent="0.35">
      <c r="D1001" s="63"/>
      <c r="S1001" s="63"/>
      <c r="T1001" s="63"/>
    </row>
    <row r="1002" spans="4:20" x14ac:dyDescent="0.35">
      <c r="D1002" s="63"/>
      <c r="S1002" s="63"/>
      <c r="T1002" s="63"/>
    </row>
    <row r="1003" spans="4:20" x14ac:dyDescent="0.35">
      <c r="D1003" s="63"/>
      <c r="S1003" s="63"/>
      <c r="T1003" s="63"/>
    </row>
    <row r="1004" spans="4:20" x14ac:dyDescent="0.35">
      <c r="D1004" s="63"/>
      <c r="S1004" s="63"/>
      <c r="T1004" s="63"/>
    </row>
    <row r="1005" spans="4:20" x14ac:dyDescent="0.35">
      <c r="D1005" s="63"/>
      <c r="S1005" s="63"/>
      <c r="T1005" s="63"/>
    </row>
    <row r="1006" spans="4:20" x14ac:dyDescent="0.35">
      <c r="D1006" s="63"/>
      <c r="S1006" s="63"/>
      <c r="T1006" s="63"/>
    </row>
    <row r="1007" spans="4:20" x14ac:dyDescent="0.35">
      <c r="D1007" s="63"/>
      <c r="S1007" s="63"/>
      <c r="T1007" s="63"/>
    </row>
    <row r="1008" spans="4:20" x14ac:dyDescent="0.35">
      <c r="D1008" s="63"/>
      <c r="S1008" s="63"/>
      <c r="T1008" s="63"/>
    </row>
    <row r="1009" spans="4:20" x14ac:dyDescent="0.35">
      <c r="D1009" s="63"/>
      <c r="S1009" s="63"/>
      <c r="T1009" s="63"/>
    </row>
    <row r="1010" spans="4:20" x14ac:dyDescent="0.35">
      <c r="D1010" s="63"/>
      <c r="S1010" s="63"/>
      <c r="T1010" s="63"/>
    </row>
    <row r="1011" spans="4:20" x14ac:dyDescent="0.35">
      <c r="D1011" s="63"/>
      <c r="S1011" s="63"/>
      <c r="T1011" s="63"/>
    </row>
    <row r="1012" spans="4:20" x14ac:dyDescent="0.35">
      <c r="D1012" s="63"/>
      <c r="S1012" s="63"/>
      <c r="T1012" s="63"/>
    </row>
    <row r="1013" spans="4:20" x14ac:dyDescent="0.35">
      <c r="D1013" s="63"/>
      <c r="S1013" s="63"/>
      <c r="T1013" s="63"/>
    </row>
    <row r="1014" spans="4:20" x14ac:dyDescent="0.35">
      <c r="D1014" s="63"/>
      <c r="S1014" s="63"/>
      <c r="T1014" s="63"/>
    </row>
    <row r="1015" spans="4:20" x14ac:dyDescent="0.35">
      <c r="D1015" s="63"/>
      <c r="S1015" s="63"/>
      <c r="T1015" s="63"/>
    </row>
    <row r="1016" spans="4:20" x14ac:dyDescent="0.35">
      <c r="D1016" s="63"/>
      <c r="S1016" s="63"/>
      <c r="T1016" s="63"/>
    </row>
    <row r="1017" spans="4:20" x14ac:dyDescent="0.35">
      <c r="D1017" s="63"/>
      <c r="S1017" s="63"/>
      <c r="T1017" s="63"/>
    </row>
    <row r="1018" spans="4:20" x14ac:dyDescent="0.35">
      <c r="D1018" s="63"/>
      <c r="S1018" s="63"/>
      <c r="T1018" s="63"/>
    </row>
    <row r="1019" spans="4:20" x14ac:dyDescent="0.35">
      <c r="D1019" s="63"/>
      <c r="S1019" s="63"/>
      <c r="T1019" s="63"/>
    </row>
    <row r="1020" spans="4:20" x14ac:dyDescent="0.35">
      <c r="D1020" s="63"/>
      <c r="S1020" s="63"/>
      <c r="T1020" s="63"/>
    </row>
    <row r="1021" spans="4:20" x14ac:dyDescent="0.35">
      <c r="D1021" s="63"/>
      <c r="S1021" s="63"/>
      <c r="T1021" s="63"/>
    </row>
    <row r="1022" spans="4:20" x14ac:dyDescent="0.35">
      <c r="D1022" s="63"/>
      <c r="S1022" s="63"/>
      <c r="T1022" s="63"/>
    </row>
    <row r="1023" spans="4:20" x14ac:dyDescent="0.35">
      <c r="D1023" s="63"/>
      <c r="S1023" s="63"/>
      <c r="T1023" s="63"/>
    </row>
    <row r="1024" spans="4:20" x14ac:dyDescent="0.35">
      <c r="D1024" s="63"/>
      <c r="S1024" s="63"/>
      <c r="T1024" s="63"/>
    </row>
    <row r="1025" spans="4:20" x14ac:dyDescent="0.35">
      <c r="D1025" s="63"/>
      <c r="S1025" s="63"/>
      <c r="T1025" s="63"/>
    </row>
    <row r="1026" spans="4:20" x14ac:dyDescent="0.35">
      <c r="D1026" s="63"/>
      <c r="S1026" s="63"/>
      <c r="T1026" s="63"/>
    </row>
    <row r="1027" spans="4:20" x14ac:dyDescent="0.35">
      <c r="D1027" s="63"/>
      <c r="S1027" s="63"/>
      <c r="T1027" s="63"/>
    </row>
    <row r="1028" spans="4:20" x14ac:dyDescent="0.35">
      <c r="D1028" s="63"/>
      <c r="S1028" s="63"/>
      <c r="T1028" s="63"/>
    </row>
    <row r="1029" spans="4:20" x14ac:dyDescent="0.35">
      <c r="D1029" s="63"/>
      <c r="S1029" s="63"/>
      <c r="T1029" s="63"/>
    </row>
    <row r="1030" spans="4:20" x14ac:dyDescent="0.35">
      <c r="D1030" s="63"/>
      <c r="S1030" s="63"/>
      <c r="T1030" s="63"/>
    </row>
    <row r="1031" spans="4:20" x14ac:dyDescent="0.35">
      <c r="D1031" s="63"/>
      <c r="S1031" s="63"/>
      <c r="T1031" s="63"/>
    </row>
    <row r="1032" spans="4:20" x14ac:dyDescent="0.35">
      <c r="D1032" s="63"/>
      <c r="S1032" s="63"/>
      <c r="T1032" s="63"/>
    </row>
    <row r="1033" spans="4:20" x14ac:dyDescent="0.35">
      <c r="D1033" s="63"/>
      <c r="S1033" s="63"/>
      <c r="T1033" s="63"/>
    </row>
    <row r="1034" spans="4:20" x14ac:dyDescent="0.35">
      <c r="D1034" s="63"/>
      <c r="S1034" s="63"/>
      <c r="T1034" s="63"/>
    </row>
    <row r="1035" spans="4:20" x14ac:dyDescent="0.35">
      <c r="D1035" s="63"/>
      <c r="S1035" s="63"/>
      <c r="T1035" s="63"/>
    </row>
    <row r="1036" spans="4:20" x14ac:dyDescent="0.35">
      <c r="D1036" s="63"/>
      <c r="S1036" s="63"/>
      <c r="T1036" s="63"/>
    </row>
    <row r="1037" spans="4:20" x14ac:dyDescent="0.35">
      <c r="D1037" s="63"/>
      <c r="S1037" s="63"/>
      <c r="T1037" s="63"/>
    </row>
    <row r="1038" spans="4:20" x14ac:dyDescent="0.35">
      <c r="D1038" s="63"/>
      <c r="S1038" s="63"/>
      <c r="T1038" s="63"/>
    </row>
    <row r="1039" spans="4:20" x14ac:dyDescent="0.35">
      <c r="D1039" s="63"/>
      <c r="S1039" s="63"/>
      <c r="T1039" s="63"/>
    </row>
    <row r="1040" spans="4:20" x14ac:dyDescent="0.35">
      <c r="D1040" s="63"/>
      <c r="S1040" s="63"/>
      <c r="T1040" s="63"/>
    </row>
    <row r="1041" spans="4:20" x14ac:dyDescent="0.35">
      <c r="D1041" s="63"/>
      <c r="S1041" s="63"/>
      <c r="T1041" s="63"/>
    </row>
    <row r="1042" spans="4:20" x14ac:dyDescent="0.35">
      <c r="D1042" s="63"/>
      <c r="S1042" s="63"/>
      <c r="T1042" s="63"/>
    </row>
    <row r="1043" spans="4:20" x14ac:dyDescent="0.35">
      <c r="D1043" s="63"/>
      <c r="S1043" s="63"/>
      <c r="T1043" s="63"/>
    </row>
    <row r="1044" spans="4:20" x14ac:dyDescent="0.35">
      <c r="D1044" s="63"/>
      <c r="S1044" s="63"/>
      <c r="T1044" s="63"/>
    </row>
    <row r="1045" spans="4:20" x14ac:dyDescent="0.35">
      <c r="D1045" s="63"/>
      <c r="S1045" s="63"/>
      <c r="T1045" s="63"/>
    </row>
    <row r="1046" spans="4:20" x14ac:dyDescent="0.35">
      <c r="D1046" s="63"/>
      <c r="S1046" s="63"/>
      <c r="T1046" s="63"/>
    </row>
    <row r="1047" spans="4:20" x14ac:dyDescent="0.35">
      <c r="D1047" s="63"/>
      <c r="S1047" s="63"/>
      <c r="T1047" s="63"/>
    </row>
    <row r="1048" spans="4:20" x14ac:dyDescent="0.35">
      <c r="D1048" s="63"/>
      <c r="S1048" s="63"/>
      <c r="T1048" s="63"/>
    </row>
    <row r="1049" spans="4:20" x14ac:dyDescent="0.35">
      <c r="D1049" s="63"/>
      <c r="S1049" s="63"/>
      <c r="T1049" s="63"/>
    </row>
    <row r="1050" spans="4:20" x14ac:dyDescent="0.35">
      <c r="D1050" s="63"/>
      <c r="S1050" s="63"/>
      <c r="T1050" s="63"/>
    </row>
    <row r="1051" spans="4:20" x14ac:dyDescent="0.35">
      <c r="D1051" s="63"/>
      <c r="S1051" s="63"/>
      <c r="T1051" s="63"/>
    </row>
    <row r="1052" spans="4:20" x14ac:dyDescent="0.35">
      <c r="D1052" s="63"/>
      <c r="S1052" s="63"/>
      <c r="T1052" s="63"/>
    </row>
    <row r="1053" spans="4:20" x14ac:dyDescent="0.35">
      <c r="D1053" s="63"/>
      <c r="S1053" s="63"/>
      <c r="T1053" s="63"/>
    </row>
    <row r="1054" spans="4:20" x14ac:dyDescent="0.35">
      <c r="D1054" s="63"/>
      <c r="S1054" s="63"/>
      <c r="T1054" s="63"/>
    </row>
    <row r="1055" spans="4:20" x14ac:dyDescent="0.35">
      <c r="D1055" s="63"/>
      <c r="S1055" s="63"/>
      <c r="T1055" s="63"/>
    </row>
    <row r="1056" spans="4:20" x14ac:dyDescent="0.35">
      <c r="D1056" s="63"/>
      <c r="S1056" s="63"/>
      <c r="T1056" s="63"/>
    </row>
    <row r="1057" spans="4:20" x14ac:dyDescent="0.35">
      <c r="D1057" s="63"/>
      <c r="S1057" s="63"/>
      <c r="T1057" s="63"/>
    </row>
    <row r="1058" spans="4:20" x14ac:dyDescent="0.35">
      <c r="D1058" s="63"/>
      <c r="S1058" s="63"/>
      <c r="T1058" s="63"/>
    </row>
    <row r="1059" spans="4:20" x14ac:dyDescent="0.35">
      <c r="D1059" s="63"/>
      <c r="S1059" s="63"/>
      <c r="T1059" s="63"/>
    </row>
    <row r="1060" spans="4:20" x14ac:dyDescent="0.35">
      <c r="D1060" s="63"/>
      <c r="S1060" s="63"/>
      <c r="T1060" s="63"/>
    </row>
    <row r="1061" spans="4:20" x14ac:dyDescent="0.35">
      <c r="D1061" s="63"/>
      <c r="S1061" s="63"/>
      <c r="T1061" s="63"/>
    </row>
    <row r="1062" spans="4:20" x14ac:dyDescent="0.35">
      <c r="D1062" s="63"/>
      <c r="S1062" s="63"/>
      <c r="T1062" s="63"/>
    </row>
    <row r="1063" spans="4:20" x14ac:dyDescent="0.35">
      <c r="D1063" s="63"/>
      <c r="S1063" s="63"/>
      <c r="T1063" s="63"/>
    </row>
    <row r="1064" spans="4:20" x14ac:dyDescent="0.35">
      <c r="D1064" s="63"/>
      <c r="S1064" s="63"/>
      <c r="T1064" s="63"/>
    </row>
    <row r="1065" spans="4:20" x14ac:dyDescent="0.35">
      <c r="D1065" s="63"/>
      <c r="S1065" s="63"/>
      <c r="T1065" s="63"/>
    </row>
    <row r="1066" spans="4:20" x14ac:dyDescent="0.35">
      <c r="D1066" s="63"/>
      <c r="S1066" s="63"/>
      <c r="T1066" s="63"/>
    </row>
    <row r="1067" spans="4:20" x14ac:dyDescent="0.35">
      <c r="D1067" s="63"/>
      <c r="S1067" s="63"/>
      <c r="T1067" s="63"/>
    </row>
    <row r="1068" spans="4:20" x14ac:dyDescent="0.35">
      <c r="D1068" s="63"/>
      <c r="S1068" s="63"/>
      <c r="T1068" s="63"/>
    </row>
    <row r="1069" spans="4:20" x14ac:dyDescent="0.35">
      <c r="D1069" s="63"/>
      <c r="S1069" s="63"/>
      <c r="T1069" s="63"/>
    </row>
    <row r="1070" spans="4:20" x14ac:dyDescent="0.35">
      <c r="D1070" s="63"/>
      <c r="S1070" s="63"/>
      <c r="T1070" s="63"/>
    </row>
    <row r="1071" spans="4:20" x14ac:dyDescent="0.35">
      <c r="D1071" s="63"/>
      <c r="S1071" s="63"/>
      <c r="T1071" s="63"/>
    </row>
    <row r="1072" spans="4:20" x14ac:dyDescent="0.35">
      <c r="D1072" s="63"/>
      <c r="S1072" s="63"/>
      <c r="T1072" s="63"/>
    </row>
    <row r="1073" spans="4:20" x14ac:dyDescent="0.35">
      <c r="D1073" s="63"/>
      <c r="S1073" s="63"/>
      <c r="T1073" s="63"/>
    </row>
    <row r="1074" spans="4:20" x14ac:dyDescent="0.35">
      <c r="D1074" s="63"/>
      <c r="S1074" s="63"/>
      <c r="T1074" s="63"/>
    </row>
    <row r="1075" spans="4:20" x14ac:dyDescent="0.35">
      <c r="D1075" s="63"/>
      <c r="S1075" s="63"/>
      <c r="T1075" s="63"/>
    </row>
    <row r="1076" spans="4:20" x14ac:dyDescent="0.35">
      <c r="D1076" s="63"/>
      <c r="S1076" s="63"/>
      <c r="T1076" s="63"/>
    </row>
    <row r="1077" spans="4:20" x14ac:dyDescent="0.35">
      <c r="D1077" s="63"/>
      <c r="S1077" s="63"/>
      <c r="T1077" s="63"/>
    </row>
    <row r="1078" spans="4:20" x14ac:dyDescent="0.35">
      <c r="D1078" s="63"/>
      <c r="S1078" s="63"/>
      <c r="T1078" s="63"/>
    </row>
    <row r="1079" spans="4:20" x14ac:dyDescent="0.35">
      <c r="D1079" s="63"/>
      <c r="S1079" s="63"/>
      <c r="T1079" s="63"/>
    </row>
    <row r="1080" spans="4:20" x14ac:dyDescent="0.35">
      <c r="D1080" s="63"/>
      <c r="S1080" s="63"/>
      <c r="T1080" s="63"/>
    </row>
    <row r="1081" spans="4:20" x14ac:dyDescent="0.35">
      <c r="D1081" s="63"/>
      <c r="S1081" s="63"/>
      <c r="T1081" s="63"/>
    </row>
    <row r="1082" spans="4:20" x14ac:dyDescent="0.35">
      <c r="D1082" s="63"/>
      <c r="S1082" s="63"/>
      <c r="T1082" s="63"/>
    </row>
    <row r="1083" spans="4:20" x14ac:dyDescent="0.35">
      <c r="D1083" s="63"/>
      <c r="S1083" s="63"/>
      <c r="T1083" s="63"/>
    </row>
    <row r="1084" spans="4:20" x14ac:dyDescent="0.35">
      <c r="D1084" s="63"/>
      <c r="S1084" s="63"/>
      <c r="T1084" s="63"/>
    </row>
    <row r="1085" spans="4:20" x14ac:dyDescent="0.35">
      <c r="D1085" s="63"/>
      <c r="S1085" s="63"/>
      <c r="T1085" s="63"/>
    </row>
    <row r="1086" spans="4:20" x14ac:dyDescent="0.35">
      <c r="D1086" s="63"/>
      <c r="S1086" s="63"/>
      <c r="T1086" s="63"/>
    </row>
    <row r="1087" spans="4:20" x14ac:dyDescent="0.35">
      <c r="D1087" s="63"/>
      <c r="S1087" s="63"/>
      <c r="T1087" s="63"/>
    </row>
    <row r="1088" spans="4:20" x14ac:dyDescent="0.35">
      <c r="D1088" s="63"/>
      <c r="S1088" s="63"/>
      <c r="T1088" s="63"/>
    </row>
    <row r="1089" spans="4:20" x14ac:dyDescent="0.35">
      <c r="D1089" s="63"/>
      <c r="S1089" s="63"/>
      <c r="T1089" s="63"/>
    </row>
    <row r="1090" spans="4:20" x14ac:dyDescent="0.35">
      <c r="D1090" s="63"/>
      <c r="S1090" s="63"/>
      <c r="T1090" s="63"/>
    </row>
    <row r="1091" spans="4:20" x14ac:dyDescent="0.35">
      <c r="D1091" s="63"/>
      <c r="S1091" s="63"/>
      <c r="T1091" s="63"/>
    </row>
    <row r="1092" spans="4:20" x14ac:dyDescent="0.35">
      <c r="D1092" s="63"/>
      <c r="S1092" s="63"/>
      <c r="T1092" s="63"/>
    </row>
    <row r="1093" spans="4:20" x14ac:dyDescent="0.35">
      <c r="D1093" s="63"/>
      <c r="S1093" s="63"/>
      <c r="T1093" s="63"/>
    </row>
    <row r="1094" spans="4:20" x14ac:dyDescent="0.35">
      <c r="D1094" s="63"/>
      <c r="S1094" s="63"/>
      <c r="T1094" s="63"/>
    </row>
    <row r="1095" spans="4:20" x14ac:dyDescent="0.35">
      <c r="D1095" s="63"/>
      <c r="S1095" s="63"/>
      <c r="T1095" s="63"/>
    </row>
    <row r="1096" spans="4:20" x14ac:dyDescent="0.35">
      <c r="D1096" s="63"/>
      <c r="S1096" s="63"/>
      <c r="T1096" s="63"/>
    </row>
    <row r="1097" spans="4:20" x14ac:dyDescent="0.35">
      <c r="D1097" s="63"/>
      <c r="S1097" s="63"/>
      <c r="T1097" s="63"/>
    </row>
    <row r="1098" spans="4:20" x14ac:dyDescent="0.35">
      <c r="D1098" s="63"/>
      <c r="S1098" s="63"/>
      <c r="T1098" s="63"/>
    </row>
    <row r="1099" spans="4:20" x14ac:dyDescent="0.35">
      <c r="D1099" s="63"/>
      <c r="S1099" s="63"/>
      <c r="T1099" s="63"/>
    </row>
    <row r="1100" spans="4:20" x14ac:dyDescent="0.35">
      <c r="D1100" s="63"/>
      <c r="S1100" s="63"/>
      <c r="T1100" s="63"/>
    </row>
    <row r="1101" spans="4:20" x14ac:dyDescent="0.35">
      <c r="D1101" s="63"/>
      <c r="S1101" s="63"/>
      <c r="T1101" s="63"/>
    </row>
    <row r="1102" spans="4:20" x14ac:dyDescent="0.35">
      <c r="D1102" s="63"/>
      <c r="S1102" s="63"/>
      <c r="T1102" s="63"/>
    </row>
    <row r="1103" spans="4:20" x14ac:dyDescent="0.35">
      <c r="D1103" s="63"/>
      <c r="S1103" s="63"/>
      <c r="T1103" s="63"/>
    </row>
    <row r="1104" spans="4:20" x14ac:dyDescent="0.35">
      <c r="D1104" s="63"/>
      <c r="S1104" s="63"/>
      <c r="T1104" s="63"/>
    </row>
    <row r="1105" spans="4:20" x14ac:dyDescent="0.35">
      <c r="D1105" s="63"/>
      <c r="S1105" s="63"/>
      <c r="T1105" s="63"/>
    </row>
    <row r="1106" spans="4:20" x14ac:dyDescent="0.35">
      <c r="D1106" s="63"/>
      <c r="S1106" s="63"/>
      <c r="T1106" s="63"/>
    </row>
    <row r="1107" spans="4:20" x14ac:dyDescent="0.35">
      <c r="D1107" s="63"/>
      <c r="S1107" s="63"/>
      <c r="T1107" s="63"/>
    </row>
    <row r="1108" spans="4:20" x14ac:dyDescent="0.35">
      <c r="D1108" s="63"/>
      <c r="S1108" s="63"/>
      <c r="T1108" s="63"/>
    </row>
    <row r="1109" spans="4:20" x14ac:dyDescent="0.35">
      <c r="D1109" s="63"/>
      <c r="S1109" s="63"/>
      <c r="T1109" s="63"/>
    </row>
    <row r="1110" spans="4:20" x14ac:dyDescent="0.35">
      <c r="D1110" s="63"/>
      <c r="S1110" s="63"/>
      <c r="T1110" s="63"/>
    </row>
    <row r="1111" spans="4:20" x14ac:dyDescent="0.35">
      <c r="D1111" s="63"/>
      <c r="S1111" s="63"/>
      <c r="T1111" s="63"/>
    </row>
    <row r="1112" spans="4:20" x14ac:dyDescent="0.35">
      <c r="D1112" s="63"/>
      <c r="S1112" s="63"/>
      <c r="T1112" s="63"/>
    </row>
    <row r="1113" spans="4:20" x14ac:dyDescent="0.35">
      <c r="D1113" s="63"/>
      <c r="S1113" s="63"/>
      <c r="T1113" s="63"/>
    </row>
    <row r="1114" spans="4:20" x14ac:dyDescent="0.35">
      <c r="D1114" s="63"/>
      <c r="S1114" s="63"/>
      <c r="T1114" s="63"/>
    </row>
    <row r="1115" spans="4:20" x14ac:dyDescent="0.35">
      <c r="D1115" s="63"/>
      <c r="S1115" s="63"/>
      <c r="T1115" s="63"/>
    </row>
    <row r="1116" spans="4:20" x14ac:dyDescent="0.35">
      <c r="D1116" s="63"/>
      <c r="S1116" s="63"/>
      <c r="T1116" s="63"/>
    </row>
    <row r="1117" spans="4:20" x14ac:dyDescent="0.35">
      <c r="D1117" s="63"/>
      <c r="S1117" s="63"/>
      <c r="T1117" s="63"/>
    </row>
    <row r="1118" spans="4:20" x14ac:dyDescent="0.35">
      <c r="D1118" s="63"/>
      <c r="S1118" s="63"/>
      <c r="T1118" s="63"/>
    </row>
    <row r="1119" spans="4:20" x14ac:dyDescent="0.35">
      <c r="D1119" s="63"/>
      <c r="S1119" s="63"/>
      <c r="T1119" s="63"/>
    </row>
    <row r="1120" spans="4:20" x14ac:dyDescent="0.35">
      <c r="D1120" s="63"/>
      <c r="S1120" s="63"/>
      <c r="T1120" s="63"/>
    </row>
    <row r="1121" spans="4:20" x14ac:dyDescent="0.35">
      <c r="D1121" s="63"/>
      <c r="S1121" s="63"/>
      <c r="T1121" s="63"/>
    </row>
    <row r="1122" spans="4:20" x14ac:dyDescent="0.35">
      <c r="D1122" s="63"/>
      <c r="S1122" s="63"/>
      <c r="T1122" s="63"/>
    </row>
    <row r="1123" spans="4:20" x14ac:dyDescent="0.35">
      <c r="D1123" s="63"/>
      <c r="S1123" s="63"/>
      <c r="T1123" s="63"/>
    </row>
    <row r="1124" spans="4:20" x14ac:dyDescent="0.35">
      <c r="D1124" s="63"/>
      <c r="S1124" s="63"/>
      <c r="T1124" s="63"/>
    </row>
    <row r="1125" spans="4:20" x14ac:dyDescent="0.35">
      <c r="D1125" s="63"/>
      <c r="S1125" s="63"/>
      <c r="T1125" s="63"/>
    </row>
    <row r="1126" spans="4:20" x14ac:dyDescent="0.35">
      <c r="D1126" s="63"/>
      <c r="S1126" s="63"/>
      <c r="T1126" s="63"/>
    </row>
    <row r="1127" spans="4:20" x14ac:dyDescent="0.35">
      <c r="D1127" s="63"/>
      <c r="S1127" s="63"/>
      <c r="T1127" s="63"/>
    </row>
    <row r="1128" spans="4:20" x14ac:dyDescent="0.35">
      <c r="D1128" s="63"/>
      <c r="S1128" s="63"/>
      <c r="T1128" s="63"/>
    </row>
    <row r="1129" spans="4:20" x14ac:dyDescent="0.35">
      <c r="D1129" s="63"/>
      <c r="S1129" s="63"/>
      <c r="T1129" s="63"/>
    </row>
    <row r="1130" spans="4:20" x14ac:dyDescent="0.35">
      <c r="D1130" s="63"/>
      <c r="S1130" s="63"/>
      <c r="T1130" s="63"/>
    </row>
    <row r="1131" spans="4:20" x14ac:dyDescent="0.35">
      <c r="D1131" s="63"/>
      <c r="S1131" s="63"/>
      <c r="T1131" s="63"/>
    </row>
    <row r="1132" spans="4:20" x14ac:dyDescent="0.35">
      <c r="D1132" s="63"/>
      <c r="S1132" s="63"/>
      <c r="T1132" s="63"/>
    </row>
    <row r="1133" spans="4:20" x14ac:dyDescent="0.35">
      <c r="D1133" s="63"/>
      <c r="S1133" s="63"/>
      <c r="T1133" s="63"/>
    </row>
    <row r="1134" spans="4:20" x14ac:dyDescent="0.35">
      <c r="D1134" s="63"/>
      <c r="S1134" s="63"/>
      <c r="T1134" s="63"/>
    </row>
    <row r="1135" spans="4:20" x14ac:dyDescent="0.35">
      <c r="D1135" s="63"/>
      <c r="S1135" s="63"/>
      <c r="T1135" s="63"/>
    </row>
    <row r="1136" spans="4:20" x14ac:dyDescent="0.35">
      <c r="D1136" s="63"/>
      <c r="S1136" s="63"/>
      <c r="T1136" s="63"/>
    </row>
    <row r="1137" spans="4:20" x14ac:dyDescent="0.35">
      <c r="D1137" s="63"/>
      <c r="S1137" s="63"/>
      <c r="T1137" s="63"/>
    </row>
    <row r="1138" spans="4:20" x14ac:dyDescent="0.35">
      <c r="D1138" s="63"/>
      <c r="S1138" s="63"/>
      <c r="T1138" s="63"/>
    </row>
    <row r="1139" spans="4:20" x14ac:dyDescent="0.35">
      <c r="D1139" s="63"/>
      <c r="S1139" s="63"/>
      <c r="T1139" s="63"/>
    </row>
    <row r="1140" spans="4:20" x14ac:dyDescent="0.35">
      <c r="D1140" s="63"/>
      <c r="S1140" s="63"/>
      <c r="T1140" s="63"/>
    </row>
    <row r="1141" spans="4:20" x14ac:dyDescent="0.35">
      <c r="D1141" s="63"/>
      <c r="S1141" s="63"/>
      <c r="T1141" s="63"/>
    </row>
    <row r="1142" spans="4:20" x14ac:dyDescent="0.35">
      <c r="D1142" s="63"/>
      <c r="S1142" s="63"/>
      <c r="T1142" s="63"/>
    </row>
    <row r="1143" spans="4:20" x14ac:dyDescent="0.35">
      <c r="D1143" s="63"/>
      <c r="S1143" s="63"/>
      <c r="T1143" s="63"/>
    </row>
    <row r="1144" spans="4:20" x14ac:dyDescent="0.35">
      <c r="D1144" s="63"/>
      <c r="S1144" s="63"/>
      <c r="T1144" s="63"/>
    </row>
    <row r="1145" spans="4:20" x14ac:dyDescent="0.35">
      <c r="D1145" s="63"/>
      <c r="S1145" s="63"/>
      <c r="T1145" s="63"/>
    </row>
    <row r="1146" spans="4:20" x14ac:dyDescent="0.35">
      <c r="D1146" s="63"/>
      <c r="S1146" s="63"/>
      <c r="T1146" s="63"/>
    </row>
    <row r="1147" spans="4:20" x14ac:dyDescent="0.35">
      <c r="D1147" s="63"/>
      <c r="S1147" s="63"/>
      <c r="T1147" s="63"/>
    </row>
    <row r="1148" spans="4:20" x14ac:dyDescent="0.35">
      <c r="D1148" s="63"/>
      <c r="S1148" s="63"/>
      <c r="T1148" s="63"/>
    </row>
    <row r="1149" spans="4:20" x14ac:dyDescent="0.35">
      <c r="D1149" s="63"/>
      <c r="S1149" s="63"/>
      <c r="T1149" s="63"/>
    </row>
    <row r="1150" spans="4:20" x14ac:dyDescent="0.35">
      <c r="D1150" s="63"/>
      <c r="S1150" s="63"/>
      <c r="T1150" s="63"/>
    </row>
    <row r="1151" spans="4:20" x14ac:dyDescent="0.35">
      <c r="D1151" s="63"/>
      <c r="S1151" s="63"/>
      <c r="T1151" s="63"/>
    </row>
    <row r="1152" spans="4:20" x14ac:dyDescent="0.35">
      <c r="D1152" s="63"/>
      <c r="S1152" s="63"/>
      <c r="T1152" s="63"/>
    </row>
    <row r="1153" spans="4:20" x14ac:dyDescent="0.35">
      <c r="D1153" s="63"/>
      <c r="S1153" s="63"/>
      <c r="T1153" s="63"/>
    </row>
    <row r="1154" spans="4:20" x14ac:dyDescent="0.35">
      <c r="D1154" s="63"/>
      <c r="S1154" s="63"/>
      <c r="T1154" s="63"/>
    </row>
    <row r="1155" spans="4:20" x14ac:dyDescent="0.35">
      <c r="D1155" s="63"/>
      <c r="S1155" s="63"/>
      <c r="T1155" s="63"/>
    </row>
    <row r="1156" spans="4:20" x14ac:dyDescent="0.35">
      <c r="D1156" s="63"/>
      <c r="S1156" s="63"/>
      <c r="T1156" s="63"/>
    </row>
    <row r="1157" spans="4:20" x14ac:dyDescent="0.35">
      <c r="D1157" s="63"/>
      <c r="S1157" s="63"/>
      <c r="T1157" s="63"/>
    </row>
    <row r="1158" spans="4:20" x14ac:dyDescent="0.35">
      <c r="D1158" s="63"/>
      <c r="S1158" s="63"/>
      <c r="T1158" s="63"/>
    </row>
    <row r="1159" spans="4:20" x14ac:dyDescent="0.35">
      <c r="D1159" s="63"/>
      <c r="S1159" s="63"/>
      <c r="T1159" s="63"/>
    </row>
    <row r="1160" spans="4:20" x14ac:dyDescent="0.35">
      <c r="D1160" s="63"/>
      <c r="S1160" s="63"/>
      <c r="T1160" s="63"/>
    </row>
    <row r="1161" spans="4:20" x14ac:dyDescent="0.35">
      <c r="D1161" s="63"/>
      <c r="S1161" s="63"/>
      <c r="T1161" s="63"/>
    </row>
    <row r="1162" spans="4:20" x14ac:dyDescent="0.35">
      <c r="D1162" s="63"/>
      <c r="S1162" s="63"/>
      <c r="T1162" s="63"/>
    </row>
    <row r="1163" spans="4:20" x14ac:dyDescent="0.35">
      <c r="D1163" s="63"/>
      <c r="S1163" s="63"/>
      <c r="T1163" s="63"/>
    </row>
    <row r="1164" spans="4:20" x14ac:dyDescent="0.35">
      <c r="D1164" s="63"/>
      <c r="S1164" s="63"/>
      <c r="T1164" s="63"/>
    </row>
    <row r="1165" spans="4:20" x14ac:dyDescent="0.35">
      <c r="D1165" s="63"/>
      <c r="S1165" s="63"/>
      <c r="T1165" s="63"/>
    </row>
    <row r="1166" spans="4:20" x14ac:dyDescent="0.35">
      <c r="D1166" s="63"/>
      <c r="S1166" s="63"/>
      <c r="T1166" s="63"/>
    </row>
    <row r="1167" spans="4:20" x14ac:dyDescent="0.35">
      <c r="D1167" s="63"/>
      <c r="S1167" s="63"/>
      <c r="T1167" s="63"/>
    </row>
    <row r="1168" spans="4:20" x14ac:dyDescent="0.35">
      <c r="D1168" s="63"/>
      <c r="S1168" s="63"/>
      <c r="T1168" s="63"/>
    </row>
    <row r="1169" spans="4:20" x14ac:dyDescent="0.35">
      <c r="D1169" s="63"/>
      <c r="S1169" s="63"/>
      <c r="T1169" s="63"/>
    </row>
    <row r="1170" spans="4:20" x14ac:dyDescent="0.35">
      <c r="D1170" s="63"/>
      <c r="S1170" s="63"/>
      <c r="T1170" s="63"/>
    </row>
    <row r="1171" spans="4:20" x14ac:dyDescent="0.35">
      <c r="D1171" s="63"/>
      <c r="S1171" s="63"/>
      <c r="T1171" s="63"/>
    </row>
    <row r="1172" spans="4:20" x14ac:dyDescent="0.35">
      <c r="D1172" s="63"/>
      <c r="S1172" s="63"/>
      <c r="T1172" s="63"/>
    </row>
    <row r="1173" spans="4:20" x14ac:dyDescent="0.35">
      <c r="D1173" s="63"/>
      <c r="S1173" s="63"/>
      <c r="T1173" s="63"/>
    </row>
    <row r="1174" spans="4:20" x14ac:dyDescent="0.35">
      <c r="D1174" s="63"/>
      <c r="S1174" s="63"/>
      <c r="T1174" s="63"/>
    </row>
    <row r="1175" spans="4:20" x14ac:dyDescent="0.35">
      <c r="D1175" s="63"/>
      <c r="S1175" s="63"/>
      <c r="T1175" s="63"/>
    </row>
    <row r="1176" spans="4:20" x14ac:dyDescent="0.35">
      <c r="D1176" s="63"/>
      <c r="S1176" s="63"/>
      <c r="T1176" s="63"/>
    </row>
    <row r="1177" spans="4:20" x14ac:dyDescent="0.35">
      <c r="D1177" s="63"/>
      <c r="S1177" s="63"/>
      <c r="T1177" s="63"/>
    </row>
    <row r="1178" spans="4:20" x14ac:dyDescent="0.35">
      <c r="D1178" s="63"/>
      <c r="S1178" s="63"/>
      <c r="T1178" s="63"/>
    </row>
    <row r="1179" spans="4:20" x14ac:dyDescent="0.35">
      <c r="D1179" s="63"/>
      <c r="S1179" s="63"/>
      <c r="T1179" s="63"/>
    </row>
    <row r="1180" spans="4:20" x14ac:dyDescent="0.35">
      <c r="D1180" s="63"/>
      <c r="S1180" s="63"/>
      <c r="T1180" s="63"/>
    </row>
    <row r="1181" spans="4:20" x14ac:dyDescent="0.35">
      <c r="D1181" s="63"/>
      <c r="S1181" s="63"/>
      <c r="T1181" s="63"/>
    </row>
    <row r="1182" spans="4:20" x14ac:dyDescent="0.35">
      <c r="D1182" s="63"/>
      <c r="S1182" s="63"/>
      <c r="T1182" s="63"/>
    </row>
    <row r="1183" spans="4:20" x14ac:dyDescent="0.35">
      <c r="D1183" s="63"/>
      <c r="S1183" s="63"/>
      <c r="T1183" s="63"/>
    </row>
    <row r="1184" spans="4:20" x14ac:dyDescent="0.35">
      <c r="D1184" s="63"/>
      <c r="S1184" s="63"/>
      <c r="T1184" s="63"/>
    </row>
    <row r="1185" spans="4:20" x14ac:dyDescent="0.35">
      <c r="D1185" s="63"/>
      <c r="S1185" s="63"/>
      <c r="T1185" s="63"/>
    </row>
    <row r="1186" spans="4:20" x14ac:dyDescent="0.35">
      <c r="D1186" s="63"/>
      <c r="S1186" s="63"/>
      <c r="T1186" s="63"/>
    </row>
    <row r="1187" spans="4:20" x14ac:dyDescent="0.35">
      <c r="D1187" s="63"/>
      <c r="S1187" s="63"/>
      <c r="T1187" s="63"/>
    </row>
    <row r="1188" spans="4:20" x14ac:dyDescent="0.35">
      <c r="D1188" s="63"/>
      <c r="S1188" s="63"/>
      <c r="T1188" s="63"/>
    </row>
    <row r="1189" spans="4:20" x14ac:dyDescent="0.35">
      <c r="D1189" s="63"/>
      <c r="S1189" s="63"/>
      <c r="T1189" s="63"/>
    </row>
    <row r="1190" spans="4:20" x14ac:dyDescent="0.35">
      <c r="D1190" s="63"/>
      <c r="S1190" s="63"/>
      <c r="T1190" s="63"/>
    </row>
    <row r="1191" spans="4:20" x14ac:dyDescent="0.35">
      <c r="D1191" s="63"/>
      <c r="S1191" s="63"/>
      <c r="T1191" s="63"/>
    </row>
    <row r="1192" spans="4:20" x14ac:dyDescent="0.35">
      <c r="D1192" s="63"/>
      <c r="S1192" s="63"/>
      <c r="T1192" s="63"/>
    </row>
    <row r="1193" spans="4:20" x14ac:dyDescent="0.35">
      <c r="D1193" s="63"/>
      <c r="S1193" s="63"/>
      <c r="T1193" s="63"/>
    </row>
    <row r="1194" spans="4:20" x14ac:dyDescent="0.35">
      <c r="D1194" s="63"/>
      <c r="S1194" s="63"/>
      <c r="T1194" s="63"/>
    </row>
    <row r="1195" spans="4:20" x14ac:dyDescent="0.35">
      <c r="D1195" s="63"/>
      <c r="S1195" s="63"/>
      <c r="T1195" s="63"/>
    </row>
    <row r="1196" spans="4:20" x14ac:dyDescent="0.35">
      <c r="D1196" s="63"/>
      <c r="S1196" s="63"/>
      <c r="T1196" s="63"/>
    </row>
    <row r="1197" spans="4:20" x14ac:dyDescent="0.35">
      <c r="D1197" s="63"/>
      <c r="S1197" s="63"/>
      <c r="T1197" s="63"/>
    </row>
    <row r="1198" spans="4:20" x14ac:dyDescent="0.35">
      <c r="D1198" s="63"/>
      <c r="S1198" s="63"/>
      <c r="T1198" s="63"/>
    </row>
    <row r="1199" spans="4:20" x14ac:dyDescent="0.35">
      <c r="D1199" s="63"/>
      <c r="S1199" s="63"/>
      <c r="T1199" s="63"/>
    </row>
    <row r="1200" spans="4:20" x14ac:dyDescent="0.35">
      <c r="D1200" s="63"/>
      <c r="S1200" s="63"/>
      <c r="T1200" s="63"/>
    </row>
    <row r="1201" spans="4:20" x14ac:dyDescent="0.35">
      <c r="D1201" s="63"/>
      <c r="S1201" s="63"/>
      <c r="T1201" s="63"/>
    </row>
    <row r="1202" spans="4:20" x14ac:dyDescent="0.35">
      <c r="D1202" s="63"/>
      <c r="S1202" s="63"/>
      <c r="T1202" s="63"/>
    </row>
    <row r="1203" spans="4:20" x14ac:dyDescent="0.35">
      <c r="D1203" s="63"/>
      <c r="S1203" s="63"/>
      <c r="T1203" s="63"/>
    </row>
    <row r="1204" spans="4:20" x14ac:dyDescent="0.35">
      <c r="D1204" s="63"/>
      <c r="S1204" s="63"/>
      <c r="T1204" s="63"/>
    </row>
    <row r="1205" spans="4:20" x14ac:dyDescent="0.35">
      <c r="D1205" s="63"/>
      <c r="S1205" s="63"/>
      <c r="T1205" s="63"/>
    </row>
    <row r="1206" spans="4:20" x14ac:dyDescent="0.35">
      <c r="D1206" s="63"/>
      <c r="S1206" s="63"/>
      <c r="T1206" s="63"/>
    </row>
    <row r="1207" spans="4:20" x14ac:dyDescent="0.35">
      <c r="D1207" s="63"/>
      <c r="S1207" s="63"/>
      <c r="T1207" s="63"/>
    </row>
    <row r="1208" spans="4:20" x14ac:dyDescent="0.35">
      <c r="D1208" s="63"/>
      <c r="S1208" s="63"/>
      <c r="T1208" s="63"/>
    </row>
    <row r="1209" spans="4:20" x14ac:dyDescent="0.35">
      <c r="D1209" s="63"/>
      <c r="S1209" s="63"/>
      <c r="T1209" s="63"/>
    </row>
    <row r="1210" spans="4:20" x14ac:dyDescent="0.35">
      <c r="D1210" s="63"/>
      <c r="S1210" s="63"/>
      <c r="T1210" s="63"/>
    </row>
    <row r="1211" spans="4:20" x14ac:dyDescent="0.35">
      <c r="D1211" s="63"/>
      <c r="S1211" s="63"/>
      <c r="T1211" s="63"/>
    </row>
    <row r="1212" spans="4:20" x14ac:dyDescent="0.35">
      <c r="D1212" s="63"/>
      <c r="S1212" s="63"/>
      <c r="T1212" s="63"/>
    </row>
    <row r="1213" spans="4:20" x14ac:dyDescent="0.35">
      <c r="D1213" s="63"/>
      <c r="S1213" s="63"/>
      <c r="T1213" s="63"/>
    </row>
    <row r="1214" spans="4:20" x14ac:dyDescent="0.35">
      <c r="D1214" s="63"/>
      <c r="S1214" s="63"/>
      <c r="T1214" s="63"/>
    </row>
    <row r="1215" spans="4:20" x14ac:dyDescent="0.35">
      <c r="D1215" s="63"/>
      <c r="S1215" s="63"/>
      <c r="T1215" s="63"/>
    </row>
    <row r="1216" spans="4:20" x14ac:dyDescent="0.35">
      <c r="D1216" s="63"/>
      <c r="S1216" s="63"/>
      <c r="T1216" s="63"/>
    </row>
    <row r="1217" spans="4:20" x14ac:dyDescent="0.35">
      <c r="D1217" s="63"/>
      <c r="S1217" s="63"/>
      <c r="T1217" s="63"/>
    </row>
    <row r="1218" spans="4:20" x14ac:dyDescent="0.35">
      <c r="D1218" s="63"/>
      <c r="S1218" s="63"/>
      <c r="T1218" s="63"/>
    </row>
    <row r="1219" spans="4:20" x14ac:dyDescent="0.35">
      <c r="D1219" s="63"/>
      <c r="S1219" s="63"/>
      <c r="T1219" s="63"/>
    </row>
    <row r="1220" spans="4:20" x14ac:dyDescent="0.35">
      <c r="D1220" s="63"/>
      <c r="S1220" s="63"/>
      <c r="T1220" s="63"/>
    </row>
    <row r="1221" spans="4:20" x14ac:dyDescent="0.35">
      <c r="D1221" s="63"/>
      <c r="S1221" s="63"/>
      <c r="T1221" s="63"/>
    </row>
    <row r="1222" spans="4:20" x14ac:dyDescent="0.35">
      <c r="D1222" s="63"/>
      <c r="S1222" s="63"/>
      <c r="T1222" s="63"/>
    </row>
    <row r="1223" spans="4:20" x14ac:dyDescent="0.35">
      <c r="D1223" s="63"/>
      <c r="S1223" s="63"/>
      <c r="T1223" s="63"/>
    </row>
    <row r="1224" spans="4:20" x14ac:dyDescent="0.35">
      <c r="D1224" s="63"/>
      <c r="S1224" s="63"/>
      <c r="T1224" s="63"/>
    </row>
    <row r="1225" spans="4:20" x14ac:dyDescent="0.35">
      <c r="D1225" s="63"/>
      <c r="S1225" s="63"/>
      <c r="T1225" s="63"/>
    </row>
    <row r="1226" spans="4:20" x14ac:dyDescent="0.35">
      <c r="D1226" s="63"/>
      <c r="S1226" s="63"/>
      <c r="T1226" s="63"/>
    </row>
    <row r="1227" spans="4:20" x14ac:dyDescent="0.35">
      <c r="D1227" s="63"/>
      <c r="S1227" s="63"/>
      <c r="T1227" s="63"/>
    </row>
    <row r="1228" spans="4:20" x14ac:dyDescent="0.35">
      <c r="D1228" s="63"/>
      <c r="S1228" s="63"/>
      <c r="T1228" s="63"/>
    </row>
    <row r="1229" spans="4:20" x14ac:dyDescent="0.35">
      <c r="D1229" s="63"/>
      <c r="S1229" s="63"/>
      <c r="T1229" s="63"/>
    </row>
    <row r="1230" spans="4:20" x14ac:dyDescent="0.35">
      <c r="D1230" s="63"/>
      <c r="S1230" s="63"/>
      <c r="T1230" s="63"/>
    </row>
    <row r="1231" spans="4:20" x14ac:dyDescent="0.35">
      <c r="D1231" s="63"/>
      <c r="S1231" s="63"/>
      <c r="T1231" s="63"/>
    </row>
    <row r="1232" spans="4:20" x14ac:dyDescent="0.35">
      <c r="D1232" s="63"/>
      <c r="S1232" s="63"/>
      <c r="T1232" s="63"/>
    </row>
    <row r="1233" spans="4:20" x14ac:dyDescent="0.35">
      <c r="D1233" s="63"/>
      <c r="S1233" s="63"/>
      <c r="T1233" s="63"/>
    </row>
    <row r="1234" spans="4:20" x14ac:dyDescent="0.35">
      <c r="D1234" s="63"/>
      <c r="S1234" s="63"/>
      <c r="T1234" s="63"/>
    </row>
    <row r="1235" spans="4:20" x14ac:dyDescent="0.35">
      <c r="D1235" s="63"/>
      <c r="S1235" s="63"/>
      <c r="T1235" s="63"/>
    </row>
    <row r="1236" spans="4:20" x14ac:dyDescent="0.35">
      <c r="D1236" s="63"/>
      <c r="S1236" s="63"/>
      <c r="T1236" s="63"/>
    </row>
    <row r="1237" spans="4:20" x14ac:dyDescent="0.35">
      <c r="D1237" s="63"/>
      <c r="S1237" s="63"/>
      <c r="T1237" s="63"/>
    </row>
    <row r="1238" spans="4:20" x14ac:dyDescent="0.35">
      <c r="D1238" s="63"/>
      <c r="S1238" s="63"/>
      <c r="T1238" s="63"/>
    </row>
    <row r="1239" spans="4:20" x14ac:dyDescent="0.35">
      <c r="D1239" s="63"/>
      <c r="S1239" s="63"/>
      <c r="T1239" s="63"/>
    </row>
    <row r="1240" spans="4:20" x14ac:dyDescent="0.35">
      <c r="D1240" s="63"/>
      <c r="S1240" s="63"/>
      <c r="T1240" s="63"/>
    </row>
    <row r="1241" spans="4:20" x14ac:dyDescent="0.35">
      <c r="D1241" s="63"/>
      <c r="S1241" s="63"/>
      <c r="T1241" s="63"/>
    </row>
    <row r="1242" spans="4:20" x14ac:dyDescent="0.35">
      <c r="D1242" s="63"/>
      <c r="S1242" s="63"/>
      <c r="T1242" s="63"/>
    </row>
    <row r="1243" spans="4:20" x14ac:dyDescent="0.35">
      <c r="D1243" s="63"/>
      <c r="S1243" s="63"/>
      <c r="T1243" s="63"/>
    </row>
    <row r="1244" spans="4:20" x14ac:dyDescent="0.35">
      <c r="D1244" s="63"/>
      <c r="S1244" s="63"/>
      <c r="T1244" s="63"/>
    </row>
    <row r="1245" spans="4:20" x14ac:dyDescent="0.35">
      <c r="D1245" s="63"/>
      <c r="S1245" s="63"/>
      <c r="T1245" s="63"/>
    </row>
    <row r="1246" spans="4:20" x14ac:dyDescent="0.35">
      <c r="D1246" s="63"/>
      <c r="S1246" s="63"/>
      <c r="T1246" s="63"/>
    </row>
    <row r="1247" spans="4:20" x14ac:dyDescent="0.35">
      <c r="D1247" s="63"/>
      <c r="S1247" s="63"/>
      <c r="T1247" s="63"/>
    </row>
    <row r="1248" spans="4:20" x14ac:dyDescent="0.35">
      <c r="D1248" s="63"/>
      <c r="S1248" s="63"/>
      <c r="T1248" s="63"/>
    </row>
    <row r="1249" spans="4:20" x14ac:dyDescent="0.35">
      <c r="D1249" s="63"/>
      <c r="S1249" s="63"/>
      <c r="T1249" s="63"/>
    </row>
    <row r="1250" spans="4:20" x14ac:dyDescent="0.35">
      <c r="D1250" s="63"/>
      <c r="S1250" s="63"/>
      <c r="T1250" s="63"/>
    </row>
    <row r="1251" spans="4:20" x14ac:dyDescent="0.35">
      <c r="D1251" s="63"/>
      <c r="S1251" s="63"/>
      <c r="T1251" s="63"/>
    </row>
    <row r="1252" spans="4:20" x14ac:dyDescent="0.35">
      <c r="D1252" s="63"/>
      <c r="S1252" s="63"/>
      <c r="T1252" s="63"/>
    </row>
    <row r="1253" spans="4:20" x14ac:dyDescent="0.35">
      <c r="D1253" s="63"/>
      <c r="S1253" s="63"/>
      <c r="T1253" s="63"/>
    </row>
    <row r="1254" spans="4:20" x14ac:dyDescent="0.35">
      <c r="D1254" s="63"/>
      <c r="S1254" s="63"/>
      <c r="T1254" s="63"/>
    </row>
    <row r="1255" spans="4:20" x14ac:dyDescent="0.35">
      <c r="D1255" s="63"/>
      <c r="S1255" s="63"/>
      <c r="T1255" s="63"/>
    </row>
    <row r="1256" spans="4:20" x14ac:dyDescent="0.35">
      <c r="D1256" s="63"/>
      <c r="S1256" s="63"/>
      <c r="T1256" s="63"/>
    </row>
    <row r="1257" spans="4:20" x14ac:dyDescent="0.35">
      <c r="D1257" s="63"/>
      <c r="S1257" s="63"/>
      <c r="T1257" s="63"/>
    </row>
    <row r="1258" spans="4:20" x14ac:dyDescent="0.35">
      <c r="D1258" s="63"/>
      <c r="S1258" s="63"/>
      <c r="T1258" s="63"/>
    </row>
    <row r="1259" spans="4:20" x14ac:dyDescent="0.35">
      <c r="D1259" s="63"/>
      <c r="S1259" s="63"/>
      <c r="T1259" s="63"/>
    </row>
    <row r="1260" spans="4:20" x14ac:dyDescent="0.35">
      <c r="D1260" s="63"/>
      <c r="S1260" s="63"/>
      <c r="T1260" s="63"/>
    </row>
    <row r="1261" spans="4:20" x14ac:dyDescent="0.35">
      <c r="D1261" s="63"/>
      <c r="S1261" s="63"/>
      <c r="T1261" s="63"/>
    </row>
    <row r="1262" spans="4:20" x14ac:dyDescent="0.35">
      <c r="D1262" s="63"/>
      <c r="S1262" s="63"/>
      <c r="T1262" s="63"/>
    </row>
    <row r="1263" spans="4:20" x14ac:dyDescent="0.35">
      <c r="D1263" s="63"/>
      <c r="S1263" s="63"/>
      <c r="T1263" s="63"/>
    </row>
    <row r="1264" spans="4:20" x14ac:dyDescent="0.35">
      <c r="D1264" s="63"/>
      <c r="S1264" s="63"/>
      <c r="T1264" s="63"/>
    </row>
    <row r="1265" spans="4:20" x14ac:dyDescent="0.35">
      <c r="D1265" s="63"/>
      <c r="S1265" s="63"/>
      <c r="T1265" s="63"/>
    </row>
    <row r="1266" spans="4:20" x14ac:dyDescent="0.35">
      <c r="D1266" s="63"/>
      <c r="S1266" s="63"/>
      <c r="T1266" s="63"/>
    </row>
    <row r="1267" spans="4:20" x14ac:dyDescent="0.35">
      <c r="D1267" s="63"/>
      <c r="S1267" s="63"/>
      <c r="T1267" s="63"/>
    </row>
    <row r="1268" spans="4:20" x14ac:dyDescent="0.35">
      <c r="D1268" s="63"/>
      <c r="S1268" s="63"/>
      <c r="T1268" s="63"/>
    </row>
    <row r="1269" spans="4:20" x14ac:dyDescent="0.35">
      <c r="D1269" s="63"/>
      <c r="S1269" s="63"/>
      <c r="T1269" s="63"/>
    </row>
    <row r="1270" spans="4:20" x14ac:dyDescent="0.35">
      <c r="D1270" s="63"/>
      <c r="S1270" s="63"/>
      <c r="T1270" s="63"/>
    </row>
    <row r="1271" spans="4:20" x14ac:dyDescent="0.35">
      <c r="D1271" s="63"/>
      <c r="S1271" s="63"/>
      <c r="T1271" s="63"/>
    </row>
    <row r="1272" spans="4:20" x14ac:dyDescent="0.35">
      <c r="D1272" s="63"/>
      <c r="S1272" s="63"/>
      <c r="T1272" s="63"/>
    </row>
    <row r="1273" spans="4:20" x14ac:dyDescent="0.35">
      <c r="D1273" s="63"/>
      <c r="S1273" s="63"/>
      <c r="T1273" s="63"/>
    </row>
    <row r="1274" spans="4:20" x14ac:dyDescent="0.35">
      <c r="D1274" s="63"/>
      <c r="S1274" s="63"/>
      <c r="T1274" s="63"/>
    </row>
    <row r="1275" spans="4:20" x14ac:dyDescent="0.35">
      <c r="D1275" s="63"/>
      <c r="S1275" s="63"/>
      <c r="T1275" s="63"/>
    </row>
    <row r="1276" spans="4:20" x14ac:dyDescent="0.35">
      <c r="D1276" s="63"/>
      <c r="S1276" s="63"/>
      <c r="T1276" s="63"/>
    </row>
    <row r="1277" spans="4:20" x14ac:dyDescent="0.35">
      <c r="D1277" s="63"/>
      <c r="S1277" s="63"/>
      <c r="T1277" s="63"/>
    </row>
    <row r="1278" spans="4:20" x14ac:dyDescent="0.35">
      <c r="D1278" s="63"/>
      <c r="S1278" s="63"/>
      <c r="T1278" s="63"/>
    </row>
    <row r="1279" spans="4:20" x14ac:dyDescent="0.35">
      <c r="D1279" s="63"/>
      <c r="S1279" s="63"/>
      <c r="T1279" s="63"/>
    </row>
    <row r="1280" spans="4:20" x14ac:dyDescent="0.35">
      <c r="D1280" s="63"/>
      <c r="S1280" s="63"/>
      <c r="T1280" s="63"/>
    </row>
    <row r="1281" spans="4:20" x14ac:dyDescent="0.35">
      <c r="D1281" s="63"/>
      <c r="S1281" s="63"/>
      <c r="T1281" s="63"/>
    </row>
    <row r="1282" spans="4:20" x14ac:dyDescent="0.35">
      <c r="D1282" s="63"/>
      <c r="S1282" s="63"/>
      <c r="T1282" s="63"/>
    </row>
    <row r="1283" spans="4:20" x14ac:dyDescent="0.35">
      <c r="D1283" s="63"/>
      <c r="S1283" s="63"/>
      <c r="T1283" s="63"/>
    </row>
    <row r="1284" spans="4:20" x14ac:dyDescent="0.35">
      <c r="D1284" s="63"/>
      <c r="S1284" s="63"/>
      <c r="T1284" s="63"/>
    </row>
    <row r="1285" spans="4:20" x14ac:dyDescent="0.35">
      <c r="D1285" s="63"/>
      <c r="S1285" s="63"/>
      <c r="T1285" s="63"/>
    </row>
    <row r="1286" spans="4:20" x14ac:dyDescent="0.35">
      <c r="D1286" s="63"/>
      <c r="S1286" s="63"/>
      <c r="T1286" s="63"/>
    </row>
    <row r="1287" spans="4:20" x14ac:dyDescent="0.35">
      <c r="D1287" s="63"/>
      <c r="S1287" s="63"/>
      <c r="T1287" s="63"/>
    </row>
    <row r="1288" spans="4:20" x14ac:dyDescent="0.35">
      <c r="D1288" s="63"/>
      <c r="S1288" s="63"/>
      <c r="T1288" s="63"/>
    </row>
    <row r="1289" spans="4:20" x14ac:dyDescent="0.35">
      <c r="D1289" s="63"/>
      <c r="S1289" s="63"/>
      <c r="T1289" s="63"/>
    </row>
    <row r="1290" spans="4:20" x14ac:dyDescent="0.35">
      <c r="D1290" s="63"/>
      <c r="S1290" s="63"/>
      <c r="T1290" s="63"/>
    </row>
    <row r="1291" spans="4:20" x14ac:dyDescent="0.35">
      <c r="D1291" s="63"/>
      <c r="S1291" s="63"/>
      <c r="T1291" s="63"/>
    </row>
    <row r="1292" spans="4:20" x14ac:dyDescent="0.35">
      <c r="D1292" s="63"/>
      <c r="S1292" s="63"/>
      <c r="T1292" s="63"/>
    </row>
    <row r="1293" spans="4:20" x14ac:dyDescent="0.35">
      <c r="D1293" s="63"/>
      <c r="S1293" s="63"/>
      <c r="T1293" s="63"/>
    </row>
    <row r="1294" spans="4:20" x14ac:dyDescent="0.35">
      <c r="D1294" s="63"/>
      <c r="S1294" s="63"/>
      <c r="T1294" s="63"/>
    </row>
    <row r="1295" spans="4:20" x14ac:dyDescent="0.35">
      <c r="D1295" s="63"/>
      <c r="S1295" s="63"/>
      <c r="T1295" s="63"/>
    </row>
    <row r="1296" spans="4:20" x14ac:dyDescent="0.35">
      <c r="D1296" s="63"/>
      <c r="S1296" s="63"/>
      <c r="T1296" s="63"/>
    </row>
    <row r="1297" spans="4:20" x14ac:dyDescent="0.35">
      <c r="D1297" s="63"/>
      <c r="S1297" s="63"/>
      <c r="T1297" s="63"/>
    </row>
    <row r="1298" spans="4:20" x14ac:dyDescent="0.35">
      <c r="D1298" s="63"/>
      <c r="S1298" s="63"/>
      <c r="T1298" s="63"/>
    </row>
    <row r="1299" spans="4:20" x14ac:dyDescent="0.35">
      <c r="D1299" s="63"/>
      <c r="S1299" s="63"/>
      <c r="T1299" s="63"/>
    </row>
    <row r="1300" spans="4:20" x14ac:dyDescent="0.35">
      <c r="D1300" s="63"/>
      <c r="S1300" s="63"/>
      <c r="T1300" s="63"/>
    </row>
    <row r="1301" spans="4:20" x14ac:dyDescent="0.35">
      <c r="D1301" s="63"/>
      <c r="S1301" s="63"/>
      <c r="T1301" s="63"/>
    </row>
    <row r="1302" spans="4:20" x14ac:dyDescent="0.35">
      <c r="D1302" s="63"/>
      <c r="S1302" s="63"/>
      <c r="T1302" s="63"/>
    </row>
    <row r="1303" spans="4:20" x14ac:dyDescent="0.35">
      <c r="D1303" s="63"/>
      <c r="S1303" s="63"/>
      <c r="T1303" s="63"/>
    </row>
    <row r="1304" spans="4:20" x14ac:dyDescent="0.35">
      <c r="D1304" s="63"/>
      <c r="S1304" s="63"/>
      <c r="T1304" s="63"/>
    </row>
    <row r="1305" spans="4:20" x14ac:dyDescent="0.35">
      <c r="D1305" s="63"/>
      <c r="S1305" s="63"/>
      <c r="T1305" s="63"/>
    </row>
    <row r="1306" spans="4:20" x14ac:dyDescent="0.35">
      <c r="D1306" s="63"/>
      <c r="S1306" s="63"/>
      <c r="T1306" s="63"/>
    </row>
    <row r="1307" spans="4:20" x14ac:dyDescent="0.35">
      <c r="D1307" s="63"/>
      <c r="S1307" s="63"/>
      <c r="T1307" s="63"/>
    </row>
    <row r="1308" spans="4:20" x14ac:dyDescent="0.35">
      <c r="D1308" s="63"/>
      <c r="S1308" s="63"/>
      <c r="T1308" s="63"/>
    </row>
    <row r="1309" spans="4:20" x14ac:dyDescent="0.35">
      <c r="D1309" s="63"/>
      <c r="S1309" s="63"/>
      <c r="T1309" s="63"/>
    </row>
    <row r="1310" spans="4:20" x14ac:dyDescent="0.35">
      <c r="D1310" s="63"/>
      <c r="S1310" s="63"/>
      <c r="T1310" s="63"/>
    </row>
    <row r="1311" spans="4:20" x14ac:dyDescent="0.35">
      <c r="D1311" s="63"/>
      <c r="S1311" s="63"/>
      <c r="T1311" s="63"/>
    </row>
    <row r="1312" spans="4:20" x14ac:dyDescent="0.35">
      <c r="D1312" s="63"/>
      <c r="S1312" s="63"/>
      <c r="T1312" s="63"/>
    </row>
    <row r="1313" spans="4:20" x14ac:dyDescent="0.35">
      <c r="D1313" s="63"/>
      <c r="S1313" s="63"/>
      <c r="T1313" s="63"/>
    </row>
    <row r="1314" spans="4:20" x14ac:dyDescent="0.35">
      <c r="D1314" s="63"/>
      <c r="S1314" s="63"/>
      <c r="T1314" s="63"/>
    </row>
    <row r="1315" spans="4:20" x14ac:dyDescent="0.35">
      <c r="D1315" s="63"/>
      <c r="S1315" s="63"/>
      <c r="T1315" s="63"/>
    </row>
    <row r="1316" spans="4:20" x14ac:dyDescent="0.35">
      <c r="D1316" s="63"/>
      <c r="S1316" s="63"/>
      <c r="T1316" s="63"/>
    </row>
    <row r="1317" spans="4:20" x14ac:dyDescent="0.35">
      <c r="D1317" s="63"/>
      <c r="S1317" s="63"/>
      <c r="T1317" s="63"/>
    </row>
    <row r="1318" spans="4:20" x14ac:dyDescent="0.35">
      <c r="D1318" s="63"/>
      <c r="S1318" s="63"/>
      <c r="T1318" s="63"/>
    </row>
    <row r="1319" spans="4:20" x14ac:dyDescent="0.35">
      <c r="D1319" s="63"/>
      <c r="S1319" s="63"/>
      <c r="T1319" s="63"/>
    </row>
    <row r="1320" spans="4:20" x14ac:dyDescent="0.35">
      <c r="D1320" s="63"/>
      <c r="S1320" s="63"/>
      <c r="T1320" s="63"/>
    </row>
    <row r="1321" spans="4:20" x14ac:dyDescent="0.35">
      <c r="D1321" s="63"/>
      <c r="S1321" s="63"/>
      <c r="T1321" s="63"/>
    </row>
    <row r="1322" spans="4:20" x14ac:dyDescent="0.35">
      <c r="D1322" s="63"/>
      <c r="S1322" s="63"/>
      <c r="T1322" s="63"/>
    </row>
    <row r="1323" spans="4:20" x14ac:dyDescent="0.35">
      <c r="D1323" s="63"/>
      <c r="S1323" s="63"/>
      <c r="T1323" s="63"/>
    </row>
    <row r="1324" spans="4:20" x14ac:dyDescent="0.35">
      <c r="D1324" s="63"/>
      <c r="S1324" s="63"/>
      <c r="T1324" s="63"/>
    </row>
    <row r="1325" spans="4:20" x14ac:dyDescent="0.35">
      <c r="D1325" s="63"/>
      <c r="S1325" s="63"/>
      <c r="T1325" s="63"/>
    </row>
    <row r="1326" spans="4:20" x14ac:dyDescent="0.35">
      <c r="D1326" s="63"/>
      <c r="S1326" s="63"/>
      <c r="T1326" s="63"/>
    </row>
    <row r="1327" spans="4:20" x14ac:dyDescent="0.35">
      <c r="D1327" s="63"/>
      <c r="S1327" s="63"/>
      <c r="T1327" s="63"/>
    </row>
    <row r="1328" spans="4:20" x14ac:dyDescent="0.35">
      <c r="D1328" s="63"/>
      <c r="S1328" s="63"/>
      <c r="T1328" s="63"/>
    </row>
    <row r="1329" spans="4:20" x14ac:dyDescent="0.35">
      <c r="D1329" s="63"/>
      <c r="S1329" s="63"/>
      <c r="T1329" s="63"/>
    </row>
    <row r="1330" spans="4:20" x14ac:dyDescent="0.35">
      <c r="D1330" s="63"/>
      <c r="S1330" s="63"/>
      <c r="T1330" s="63"/>
    </row>
    <row r="1331" spans="4:20" x14ac:dyDescent="0.35">
      <c r="D1331" s="63"/>
      <c r="S1331" s="63"/>
      <c r="T1331" s="63"/>
    </row>
    <row r="1332" spans="4:20" x14ac:dyDescent="0.35">
      <c r="D1332" s="63"/>
      <c r="S1332" s="63"/>
      <c r="T1332" s="63"/>
    </row>
    <row r="1333" spans="4:20" x14ac:dyDescent="0.35">
      <c r="D1333" s="63"/>
      <c r="S1333" s="63"/>
      <c r="T1333" s="63"/>
    </row>
    <row r="1334" spans="4:20" x14ac:dyDescent="0.35">
      <c r="D1334" s="63"/>
      <c r="S1334" s="63"/>
      <c r="T1334" s="63"/>
    </row>
    <row r="1335" spans="4:20" x14ac:dyDescent="0.35">
      <c r="D1335" s="63"/>
      <c r="S1335" s="63"/>
      <c r="T1335" s="63"/>
    </row>
    <row r="1336" spans="4:20" x14ac:dyDescent="0.35">
      <c r="D1336" s="63"/>
      <c r="S1336" s="63"/>
      <c r="T1336" s="63"/>
    </row>
    <row r="1337" spans="4:20" x14ac:dyDescent="0.35">
      <c r="D1337" s="63"/>
      <c r="S1337" s="63"/>
      <c r="T1337" s="63"/>
    </row>
    <row r="1338" spans="4:20" x14ac:dyDescent="0.35">
      <c r="D1338" s="63"/>
      <c r="S1338" s="63"/>
      <c r="T1338" s="63"/>
    </row>
    <row r="1339" spans="4:20" x14ac:dyDescent="0.35">
      <c r="D1339" s="63"/>
      <c r="S1339" s="63"/>
      <c r="T1339" s="63"/>
    </row>
    <row r="1340" spans="4:20" x14ac:dyDescent="0.35">
      <c r="D1340" s="63"/>
      <c r="S1340" s="63"/>
      <c r="T1340" s="63"/>
    </row>
    <row r="1341" spans="4:20" x14ac:dyDescent="0.35">
      <c r="D1341" s="63"/>
      <c r="S1341" s="63"/>
      <c r="T1341" s="63"/>
    </row>
    <row r="1342" spans="4:20" x14ac:dyDescent="0.35">
      <c r="D1342" s="63"/>
      <c r="S1342" s="63"/>
      <c r="T1342" s="63"/>
    </row>
    <row r="1343" spans="4:20" x14ac:dyDescent="0.35">
      <c r="D1343" s="63"/>
      <c r="S1343" s="63"/>
      <c r="T1343" s="63"/>
    </row>
    <row r="1344" spans="4:20" x14ac:dyDescent="0.35">
      <c r="D1344" s="63"/>
      <c r="S1344" s="63"/>
      <c r="T1344" s="63"/>
    </row>
    <row r="1345" spans="4:20" x14ac:dyDescent="0.35">
      <c r="D1345" s="63"/>
      <c r="S1345" s="63"/>
      <c r="T1345" s="63"/>
    </row>
    <row r="1346" spans="4:20" x14ac:dyDescent="0.35">
      <c r="D1346" s="63"/>
      <c r="S1346" s="63"/>
      <c r="T1346" s="63"/>
    </row>
    <row r="1347" spans="4:20" x14ac:dyDescent="0.35">
      <c r="D1347" s="63"/>
      <c r="S1347" s="63"/>
      <c r="T1347" s="63"/>
    </row>
    <row r="1348" spans="4:20" x14ac:dyDescent="0.35">
      <c r="D1348" s="63"/>
      <c r="S1348" s="63"/>
      <c r="T1348" s="63"/>
    </row>
    <row r="1349" spans="4:20" x14ac:dyDescent="0.35">
      <c r="D1349" s="63"/>
      <c r="S1349" s="63"/>
      <c r="T1349" s="63"/>
    </row>
    <row r="1350" spans="4:20" x14ac:dyDescent="0.35">
      <c r="D1350" s="63"/>
      <c r="S1350" s="63"/>
      <c r="T1350" s="63"/>
    </row>
    <row r="1351" spans="4:20" x14ac:dyDescent="0.35">
      <c r="D1351" s="63"/>
      <c r="S1351" s="63"/>
      <c r="T1351" s="63"/>
    </row>
    <row r="1352" spans="4:20" x14ac:dyDescent="0.35">
      <c r="D1352" s="63"/>
      <c r="S1352" s="63"/>
      <c r="T1352" s="63"/>
    </row>
    <row r="1353" spans="4:20" x14ac:dyDescent="0.35">
      <c r="D1353" s="63"/>
      <c r="S1353" s="63"/>
      <c r="T1353" s="63"/>
    </row>
    <row r="1354" spans="4:20" x14ac:dyDescent="0.35">
      <c r="D1354" s="63"/>
      <c r="S1354" s="63"/>
      <c r="T1354" s="63"/>
    </row>
    <row r="1355" spans="4:20" x14ac:dyDescent="0.35">
      <c r="D1355" s="63"/>
      <c r="S1355" s="63"/>
      <c r="T1355" s="63"/>
    </row>
    <row r="1356" spans="4:20" x14ac:dyDescent="0.35">
      <c r="D1356" s="63"/>
      <c r="S1356" s="63"/>
      <c r="T1356" s="63"/>
    </row>
    <row r="1357" spans="4:20" x14ac:dyDescent="0.35">
      <c r="D1357" s="63"/>
      <c r="S1357" s="63"/>
      <c r="T1357" s="63"/>
    </row>
    <row r="1358" spans="4:20" x14ac:dyDescent="0.35">
      <c r="D1358" s="63"/>
      <c r="S1358" s="63"/>
      <c r="T1358" s="63"/>
    </row>
    <row r="1359" spans="4:20" x14ac:dyDescent="0.35">
      <c r="D1359" s="63"/>
      <c r="S1359" s="63"/>
      <c r="T1359" s="63"/>
    </row>
    <row r="1360" spans="4:20" x14ac:dyDescent="0.35">
      <c r="D1360" s="63"/>
      <c r="S1360" s="63"/>
      <c r="T1360" s="63"/>
    </row>
    <row r="1361" spans="4:20" x14ac:dyDescent="0.35">
      <c r="D1361" s="63"/>
      <c r="S1361" s="63"/>
      <c r="T1361" s="63"/>
    </row>
    <row r="1362" spans="4:20" x14ac:dyDescent="0.35">
      <c r="D1362" s="63"/>
      <c r="S1362" s="63"/>
      <c r="T1362" s="63"/>
    </row>
    <row r="1363" spans="4:20" x14ac:dyDescent="0.35">
      <c r="D1363" s="63"/>
      <c r="S1363" s="63"/>
      <c r="T1363" s="63"/>
    </row>
    <row r="1364" spans="4:20" x14ac:dyDescent="0.35">
      <c r="D1364" s="63"/>
      <c r="S1364" s="63"/>
      <c r="T1364" s="63"/>
    </row>
    <row r="1365" spans="4:20" x14ac:dyDescent="0.35">
      <c r="D1365" s="63"/>
      <c r="S1365" s="63"/>
      <c r="T1365" s="63"/>
    </row>
    <row r="1366" spans="4:20" x14ac:dyDescent="0.35">
      <c r="D1366" s="63"/>
      <c r="S1366" s="63"/>
      <c r="T1366" s="63"/>
    </row>
    <row r="1367" spans="4:20" x14ac:dyDescent="0.35">
      <c r="D1367" s="63"/>
      <c r="S1367" s="63"/>
      <c r="T1367" s="63"/>
    </row>
    <row r="1368" spans="4:20" x14ac:dyDescent="0.35">
      <c r="D1368" s="63"/>
      <c r="S1368" s="63"/>
      <c r="T1368" s="63"/>
    </row>
    <row r="1369" spans="4:20" x14ac:dyDescent="0.35">
      <c r="D1369" s="63"/>
      <c r="S1369" s="63"/>
      <c r="T1369" s="63"/>
    </row>
    <row r="1370" spans="4:20" x14ac:dyDescent="0.35">
      <c r="D1370" s="63"/>
      <c r="S1370" s="63"/>
      <c r="T1370" s="63"/>
    </row>
    <row r="1371" spans="4:20" x14ac:dyDescent="0.35">
      <c r="D1371" s="63"/>
      <c r="S1371" s="63"/>
      <c r="T1371" s="63"/>
    </row>
    <row r="1372" spans="4:20" x14ac:dyDescent="0.35">
      <c r="D1372" s="63"/>
      <c r="S1372" s="63"/>
      <c r="T1372" s="63"/>
    </row>
    <row r="1373" spans="4:20" x14ac:dyDescent="0.35">
      <c r="D1373" s="63"/>
      <c r="S1373" s="63"/>
      <c r="T1373" s="63"/>
    </row>
    <row r="1374" spans="4:20" x14ac:dyDescent="0.35">
      <c r="D1374" s="63"/>
      <c r="S1374" s="63"/>
      <c r="T1374" s="63"/>
    </row>
    <row r="1375" spans="4:20" x14ac:dyDescent="0.35">
      <c r="D1375" s="63"/>
      <c r="S1375" s="63"/>
      <c r="T1375" s="63"/>
    </row>
    <row r="1376" spans="4:20" x14ac:dyDescent="0.35">
      <c r="D1376" s="63"/>
      <c r="S1376" s="63"/>
      <c r="T1376" s="63"/>
    </row>
    <row r="1377" spans="4:20" x14ac:dyDescent="0.35">
      <c r="D1377" s="63"/>
      <c r="S1377" s="63"/>
      <c r="T1377" s="63"/>
    </row>
    <row r="1378" spans="4:20" x14ac:dyDescent="0.35">
      <c r="D1378" s="63"/>
      <c r="S1378" s="63"/>
      <c r="T1378" s="63"/>
    </row>
    <row r="1379" spans="4:20" x14ac:dyDescent="0.35">
      <c r="D1379" s="63"/>
      <c r="S1379" s="63"/>
      <c r="T1379" s="63"/>
    </row>
    <row r="1380" spans="4:20" x14ac:dyDescent="0.35">
      <c r="D1380" s="63"/>
      <c r="S1380" s="63"/>
      <c r="T1380" s="63"/>
    </row>
    <row r="1381" spans="4:20" x14ac:dyDescent="0.35">
      <c r="D1381" s="63"/>
      <c r="S1381" s="63"/>
      <c r="T1381" s="63"/>
    </row>
    <row r="1382" spans="4:20" x14ac:dyDescent="0.35">
      <c r="D1382" s="63"/>
      <c r="S1382" s="63"/>
      <c r="T1382" s="63"/>
    </row>
    <row r="1383" spans="4:20" x14ac:dyDescent="0.35">
      <c r="D1383" s="63"/>
      <c r="S1383" s="63"/>
      <c r="T1383" s="63"/>
    </row>
    <row r="1384" spans="4:20" x14ac:dyDescent="0.35">
      <c r="D1384" s="63"/>
      <c r="S1384" s="63"/>
      <c r="T1384" s="63"/>
    </row>
    <row r="1385" spans="4:20" x14ac:dyDescent="0.35">
      <c r="D1385" s="63"/>
      <c r="S1385" s="63"/>
      <c r="T1385" s="63"/>
    </row>
    <row r="1386" spans="4:20" x14ac:dyDescent="0.35">
      <c r="D1386" s="63"/>
      <c r="S1386" s="63"/>
      <c r="T1386" s="63"/>
    </row>
    <row r="1387" spans="4:20" x14ac:dyDescent="0.35">
      <c r="D1387" s="63"/>
      <c r="S1387" s="63"/>
      <c r="T1387" s="63"/>
    </row>
    <row r="1388" spans="4:20" x14ac:dyDescent="0.35">
      <c r="D1388" s="63"/>
      <c r="S1388" s="63"/>
      <c r="T1388" s="63"/>
    </row>
    <row r="1389" spans="4:20" x14ac:dyDescent="0.35">
      <c r="D1389" s="63"/>
      <c r="S1389" s="63"/>
      <c r="T1389" s="63"/>
    </row>
    <row r="1390" spans="4:20" x14ac:dyDescent="0.35">
      <c r="D1390" s="63"/>
      <c r="S1390" s="63"/>
      <c r="T1390" s="63"/>
    </row>
    <row r="1391" spans="4:20" x14ac:dyDescent="0.35">
      <c r="D1391" s="63"/>
      <c r="S1391" s="63"/>
      <c r="T1391" s="63"/>
    </row>
    <row r="1392" spans="4:20" x14ac:dyDescent="0.35">
      <c r="D1392" s="63"/>
      <c r="S1392" s="63"/>
      <c r="T1392" s="63"/>
    </row>
    <row r="1393" spans="4:20" x14ac:dyDescent="0.35">
      <c r="D1393" s="63"/>
      <c r="S1393" s="63"/>
      <c r="T1393" s="63"/>
    </row>
    <row r="1394" spans="4:20" x14ac:dyDescent="0.35">
      <c r="D1394" s="63"/>
      <c r="S1394" s="63"/>
      <c r="T1394" s="63"/>
    </row>
    <row r="1395" spans="4:20" x14ac:dyDescent="0.35">
      <c r="D1395" s="63"/>
      <c r="S1395" s="63"/>
      <c r="T1395" s="63"/>
    </row>
    <row r="1396" spans="4:20" x14ac:dyDescent="0.35">
      <c r="D1396" s="63"/>
      <c r="S1396" s="63"/>
      <c r="T1396" s="63"/>
    </row>
    <row r="1397" spans="4:20" x14ac:dyDescent="0.35">
      <c r="D1397" s="63"/>
      <c r="S1397" s="63"/>
      <c r="T1397" s="63"/>
    </row>
    <row r="1398" spans="4:20" x14ac:dyDescent="0.35">
      <c r="D1398" s="63"/>
      <c r="S1398" s="63"/>
      <c r="T1398" s="63"/>
    </row>
    <row r="1399" spans="4:20" x14ac:dyDescent="0.35">
      <c r="D1399" s="63"/>
      <c r="S1399" s="63"/>
      <c r="T1399" s="63"/>
    </row>
    <row r="1400" spans="4:20" x14ac:dyDescent="0.35">
      <c r="D1400" s="63"/>
      <c r="S1400" s="63"/>
      <c r="T1400" s="63"/>
    </row>
    <row r="1401" spans="4:20" x14ac:dyDescent="0.35">
      <c r="D1401" s="63"/>
      <c r="S1401" s="63"/>
      <c r="T1401" s="63"/>
    </row>
    <row r="1402" spans="4:20" x14ac:dyDescent="0.35">
      <c r="D1402" s="63"/>
      <c r="S1402" s="63"/>
      <c r="T1402" s="63"/>
    </row>
    <row r="1403" spans="4:20" x14ac:dyDescent="0.35">
      <c r="D1403" s="63"/>
      <c r="S1403" s="63"/>
      <c r="T1403" s="63"/>
    </row>
    <row r="1404" spans="4:20" x14ac:dyDescent="0.35">
      <c r="D1404" s="63"/>
      <c r="S1404" s="63"/>
      <c r="T1404" s="63"/>
    </row>
    <row r="1405" spans="4:20" x14ac:dyDescent="0.35">
      <c r="D1405" s="63"/>
      <c r="S1405" s="63"/>
      <c r="T1405" s="63"/>
    </row>
    <row r="1406" spans="4:20" x14ac:dyDescent="0.35">
      <c r="D1406" s="63"/>
      <c r="S1406" s="63"/>
      <c r="T1406" s="63"/>
    </row>
    <row r="1407" spans="4:20" x14ac:dyDescent="0.35">
      <c r="D1407" s="63"/>
      <c r="S1407" s="63"/>
      <c r="T1407" s="63"/>
    </row>
    <row r="1408" spans="4:20" x14ac:dyDescent="0.35">
      <c r="D1408" s="63"/>
      <c r="S1408" s="63"/>
      <c r="T1408" s="63"/>
    </row>
    <row r="1409" spans="4:20" x14ac:dyDescent="0.35">
      <c r="D1409" s="63"/>
      <c r="S1409" s="63"/>
      <c r="T1409" s="63"/>
    </row>
    <row r="1410" spans="4:20" x14ac:dyDescent="0.35">
      <c r="D1410" s="63"/>
      <c r="S1410" s="63"/>
      <c r="T1410" s="63"/>
    </row>
    <row r="1411" spans="4:20" x14ac:dyDescent="0.35">
      <c r="D1411" s="63"/>
      <c r="S1411" s="63"/>
      <c r="T1411" s="63"/>
    </row>
    <row r="1412" spans="4:20" x14ac:dyDescent="0.35">
      <c r="D1412" s="63"/>
      <c r="S1412" s="63"/>
      <c r="T1412" s="63"/>
    </row>
    <row r="1413" spans="4:20" x14ac:dyDescent="0.35">
      <c r="D1413" s="63"/>
      <c r="S1413" s="63"/>
      <c r="T1413" s="63"/>
    </row>
    <row r="1414" spans="4:20" x14ac:dyDescent="0.35">
      <c r="D1414" s="63"/>
      <c r="S1414" s="63"/>
      <c r="T1414" s="63"/>
    </row>
    <row r="1415" spans="4:20" x14ac:dyDescent="0.35">
      <c r="D1415" s="63"/>
      <c r="S1415" s="63"/>
      <c r="T1415" s="63"/>
    </row>
    <row r="1416" spans="4:20" x14ac:dyDescent="0.35">
      <c r="D1416" s="63"/>
      <c r="S1416" s="63"/>
      <c r="T1416" s="63"/>
    </row>
    <row r="1417" spans="4:20" x14ac:dyDescent="0.35">
      <c r="D1417" s="63"/>
      <c r="S1417" s="63"/>
      <c r="T1417" s="63"/>
    </row>
    <row r="1418" spans="4:20" x14ac:dyDescent="0.35">
      <c r="D1418" s="63"/>
      <c r="S1418" s="63"/>
      <c r="T1418" s="63"/>
    </row>
    <row r="1419" spans="4:20" x14ac:dyDescent="0.35">
      <c r="D1419" s="63"/>
      <c r="S1419" s="63"/>
      <c r="T1419" s="63"/>
    </row>
    <row r="1420" spans="4:20" x14ac:dyDescent="0.35">
      <c r="D1420" s="63"/>
      <c r="S1420" s="63"/>
      <c r="T1420" s="63"/>
    </row>
    <row r="1421" spans="4:20" x14ac:dyDescent="0.35">
      <c r="D1421" s="63"/>
      <c r="S1421" s="63"/>
      <c r="T1421" s="63"/>
    </row>
    <row r="1422" spans="4:20" x14ac:dyDescent="0.35">
      <c r="D1422" s="63"/>
      <c r="S1422" s="63"/>
      <c r="T1422" s="63"/>
    </row>
    <row r="1423" spans="4:20" x14ac:dyDescent="0.35">
      <c r="D1423" s="63"/>
      <c r="S1423" s="63"/>
      <c r="T1423" s="63"/>
    </row>
    <row r="1424" spans="4:20" x14ac:dyDescent="0.35">
      <c r="D1424" s="63"/>
      <c r="S1424" s="63"/>
      <c r="T1424" s="63"/>
    </row>
    <row r="1425" spans="4:20" x14ac:dyDescent="0.35">
      <c r="D1425" s="63"/>
      <c r="S1425" s="63"/>
      <c r="T1425" s="63"/>
    </row>
    <row r="1426" spans="4:20" x14ac:dyDescent="0.35">
      <c r="D1426" s="63"/>
      <c r="S1426" s="63"/>
      <c r="T1426" s="63"/>
    </row>
    <row r="1427" spans="4:20" x14ac:dyDescent="0.35">
      <c r="D1427" s="63"/>
      <c r="S1427" s="63"/>
      <c r="T1427" s="63"/>
    </row>
    <row r="1428" spans="4:20" x14ac:dyDescent="0.35">
      <c r="D1428" s="63"/>
      <c r="S1428" s="63"/>
      <c r="T1428" s="63"/>
    </row>
    <row r="1429" spans="4:20" x14ac:dyDescent="0.35">
      <c r="D1429" s="63"/>
      <c r="S1429" s="63"/>
      <c r="T1429" s="63"/>
    </row>
    <row r="1430" spans="4:20" x14ac:dyDescent="0.35">
      <c r="D1430" s="63"/>
      <c r="S1430" s="63"/>
      <c r="T1430" s="63"/>
    </row>
    <row r="1431" spans="4:20" x14ac:dyDescent="0.35">
      <c r="D1431" s="63"/>
      <c r="S1431" s="63"/>
      <c r="T1431" s="63"/>
    </row>
    <row r="1432" spans="4:20" x14ac:dyDescent="0.35">
      <c r="D1432" s="63"/>
      <c r="S1432" s="63"/>
      <c r="T1432" s="63"/>
    </row>
    <row r="1433" spans="4:20" x14ac:dyDescent="0.35">
      <c r="D1433" s="63"/>
      <c r="S1433" s="63"/>
      <c r="T1433" s="63"/>
    </row>
    <row r="1434" spans="4:20" x14ac:dyDescent="0.35">
      <c r="D1434" s="63"/>
      <c r="S1434" s="63"/>
      <c r="T1434" s="63"/>
    </row>
    <row r="1435" spans="4:20" x14ac:dyDescent="0.35">
      <c r="D1435" s="63"/>
      <c r="S1435" s="63"/>
      <c r="T1435" s="63"/>
    </row>
    <row r="1436" spans="4:20" x14ac:dyDescent="0.35">
      <c r="D1436" s="63"/>
      <c r="S1436" s="63"/>
      <c r="T1436" s="63"/>
    </row>
    <row r="1437" spans="4:20" x14ac:dyDescent="0.35">
      <c r="D1437" s="63"/>
      <c r="S1437" s="63"/>
      <c r="T1437" s="63"/>
    </row>
    <row r="1438" spans="4:20" x14ac:dyDescent="0.35">
      <c r="D1438" s="63"/>
      <c r="S1438" s="63"/>
      <c r="T1438" s="63"/>
    </row>
    <row r="1439" spans="4:20" x14ac:dyDescent="0.35">
      <c r="D1439" s="63"/>
      <c r="S1439" s="63"/>
      <c r="T1439" s="63"/>
    </row>
    <row r="1440" spans="4:20" x14ac:dyDescent="0.35">
      <c r="D1440" s="63"/>
      <c r="S1440" s="63"/>
      <c r="T1440" s="63"/>
    </row>
    <row r="1441" spans="4:20" x14ac:dyDescent="0.35">
      <c r="D1441" s="63"/>
      <c r="S1441" s="63"/>
      <c r="T1441" s="63"/>
    </row>
    <row r="1442" spans="4:20" x14ac:dyDescent="0.35">
      <c r="D1442" s="63"/>
      <c r="S1442" s="63"/>
      <c r="T1442" s="63"/>
    </row>
    <row r="1443" spans="4:20" x14ac:dyDescent="0.35">
      <c r="D1443" s="63"/>
      <c r="S1443" s="63"/>
      <c r="T1443" s="63"/>
    </row>
    <row r="1444" spans="4:20" x14ac:dyDescent="0.35">
      <c r="D1444" s="63"/>
      <c r="S1444" s="63"/>
      <c r="T1444" s="63"/>
    </row>
    <row r="1445" spans="4:20" x14ac:dyDescent="0.35">
      <c r="D1445" s="63"/>
      <c r="S1445" s="63"/>
      <c r="T1445" s="63"/>
    </row>
    <row r="1446" spans="4:20" x14ac:dyDescent="0.35">
      <c r="D1446" s="63"/>
      <c r="S1446" s="63"/>
      <c r="T1446" s="63"/>
    </row>
    <row r="1447" spans="4:20" x14ac:dyDescent="0.35">
      <c r="D1447" s="63"/>
      <c r="S1447" s="63"/>
      <c r="T1447" s="63"/>
    </row>
    <row r="1448" spans="4:20" x14ac:dyDescent="0.35">
      <c r="D1448" s="63"/>
      <c r="S1448" s="63"/>
      <c r="T1448" s="63"/>
    </row>
    <row r="1449" spans="4:20" x14ac:dyDescent="0.35">
      <c r="D1449" s="63"/>
      <c r="S1449" s="63"/>
      <c r="T1449" s="63"/>
    </row>
    <row r="1450" spans="4:20" x14ac:dyDescent="0.35">
      <c r="D1450" s="63"/>
      <c r="S1450" s="63"/>
      <c r="T1450" s="63"/>
    </row>
    <row r="1451" spans="4:20" x14ac:dyDescent="0.35">
      <c r="D1451" s="63"/>
      <c r="S1451" s="63"/>
      <c r="T1451" s="63"/>
    </row>
    <row r="1452" spans="4:20" x14ac:dyDescent="0.35">
      <c r="D1452" s="63"/>
      <c r="S1452" s="63"/>
      <c r="T1452" s="63"/>
    </row>
    <row r="1453" spans="4:20" x14ac:dyDescent="0.35">
      <c r="D1453" s="63"/>
      <c r="S1453" s="63"/>
      <c r="T1453" s="63"/>
    </row>
    <row r="1454" spans="4:20" x14ac:dyDescent="0.35">
      <c r="D1454" s="63"/>
      <c r="S1454" s="63"/>
      <c r="T1454" s="63"/>
    </row>
    <row r="1455" spans="4:20" x14ac:dyDescent="0.35">
      <c r="D1455" s="63"/>
      <c r="S1455" s="63"/>
      <c r="T1455" s="63"/>
    </row>
    <row r="1456" spans="4:20" x14ac:dyDescent="0.35">
      <c r="D1456" s="63"/>
      <c r="S1456" s="63"/>
      <c r="T1456" s="63"/>
    </row>
    <row r="1457" spans="4:20" x14ac:dyDescent="0.35">
      <c r="D1457" s="63"/>
      <c r="S1457" s="63"/>
      <c r="T1457" s="63"/>
    </row>
    <row r="1458" spans="4:20" x14ac:dyDescent="0.35">
      <c r="D1458" s="63"/>
      <c r="S1458" s="63"/>
      <c r="T1458" s="63"/>
    </row>
    <row r="1459" spans="4:20" x14ac:dyDescent="0.35">
      <c r="D1459" s="63"/>
      <c r="S1459" s="63"/>
      <c r="T1459" s="63"/>
    </row>
    <row r="1460" spans="4:20" x14ac:dyDescent="0.35">
      <c r="D1460" s="63"/>
      <c r="S1460" s="63"/>
      <c r="T1460" s="63"/>
    </row>
    <row r="1461" spans="4:20" x14ac:dyDescent="0.35">
      <c r="D1461" s="63"/>
      <c r="S1461" s="63"/>
      <c r="T1461" s="63"/>
    </row>
    <row r="1462" spans="4:20" x14ac:dyDescent="0.35">
      <c r="D1462" s="63"/>
      <c r="S1462" s="63"/>
      <c r="T1462" s="63"/>
    </row>
    <row r="1463" spans="4:20" x14ac:dyDescent="0.35">
      <c r="D1463" s="63"/>
      <c r="S1463" s="63"/>
      <c r="T1463" s="63"/>
    </row>
    <row r="1464" spans="4:20" x14ac:dyDescent="0.35">
      <c r="D1464" s="63"/>
      <c r="S1464" s="63"/>
      <c r="T1464" s="63"/>
    </row>
    <row r="1465" spans="4:20" x14ac:dyDescent="0.35">
      <c r="D1465" s="63"/>
      <c r="S1465" s="63"/>
      <c r="T1465" s="63"/>
    </row>
    <row r="1466" spans="4:20" x14ac:dyDescent="0.35">
      <c r="D1466" s="63"/>
      <c r="S1466" s="63"/>
      <c r="T1466" s="63"/>
    </row>
    <row r="1467" spans="4:20" x14ac:dyDescent="0.35">
      <c r="D1467" s="63"/>
      <c r="S1467" s="63"/>
      <c r="T1467" s="63"/>
    </row>
    <row r="1468" spans="4:20" x14ac:dyDescent="0.35">
      <c r="D1468" s="63"/>
      <c r="S1468" s="63"/>
      <c r="T1468" s="63"/>
    </row>
    <row r="1469" spans="4:20" x14ac:dyDescent="0.35">
      <c r="D1469" s="63"/>
      <c r="S1469" s="63"/>
      <c r="T1469" s="63"/>
    </row>
    <row r="1470" spans="4:20" x14ac:dyDescent="0.35">
      <c r="D1470" s="63"/>
      <c r="S1470" s="63"/>
      <c r="T1470" s="63"/>
    </row>
    <row r="1471" spans="4:20" x14ac:dyDescent="0.35">
      <c r="D1471" s="63"/>
      <c r="S1471" s="63"/>
      <c r="T1471" s="63"/>
    </row>
    <row r="1472" spans="4:20" x14ac:dyDescent="0.35">
      <c r="D1472" s="63"/>
      <c r="S1472" s="63"/>
      <c r="T1472" s="63"/>
    </row>
    <row r="1473" spans="4:20" x14ac:dyDescent="0.35">
      <c r="D1473" s="63"/>
      <c r="S1473" s="63"/>
      <c r="T1473" s="63"/>
    </row>
    <row r="1474" spans="4:20" x14ac:dyDescent="0.35">
      <c r="D1474" s="63"/>
      <c r="S1474" s="63"/>
      <c r="T1474" s="63"/>
    </row>
    <row r="1475" spans="4:20" x14ac:dyDescent="0.35">
      <c r="D1475" s="63"/>
      <c r="S1475" s="63"/>
      <c r="T1475" s="63"/>
    </row>
    <row r="1476" spans="4:20" x14ac:dyDescent="0.35">
      <c r="D1476" s="63"/>
      <c r="S1476" s="63"/>
      <c r="T1476" s="63"/>
    </row>
    <row r="1477" spans="4:20" x14ac:dyDescent="0.35">
      <c r="D1477" s="63"/>
      <c r="S1477" s="63"/>
      <c r="T1477" s="63"/>
    </row>
    <row r="1478" spans="4:20" x14ac:dyDescent="0.35">
      <c r="D1478" s="63"/>
      <c r="S1478" s="63"/>
      <c r="T1478" s="63"/>
    </row>
    <row r="1479" spans="4:20" x14ac:dyDescent="0.35">
      <c r="D1479" s="63"/>
      <c r="S1479" s="63"/>
      <c r="T1479" s="63"/>
    </row>
    <row r="1480" spans="4:20" x14ac:dyDescent="0.35">
      <c r="D1480" s="63"/>
      <c r="S1480" s="63"/>
      <c r="T1480" s="63"/>
    </row>
    <row r="1481" spans="4:20" x14ac:dyDescent="0.35">
      <c r="D1481" s="63"/>
      <c r="S1481" s="63"/>
      <c r="T1481" s="63"/>
    </row>
    <row r="1482" spans="4:20" x14ac:dyDescent="0.35">
      <c r="D1482" s="63"/>
      <c r="S1482" s="63"/>
      <c r="T1482" s="63"/>
    </row>
    <row r="1483" spans="4:20" x14ac:dyDescent="0.35">
      <c r="D1483" s="63"/>
      <c r="S1483" s="63"/>
      <c r="T1483" s="63"/>
    </row>
    <row r="1484" spans="4:20" x14ac:dyDescent="0.35">
      <c r="D1484" s="63"/>
      <c r="S1484" s="63"/>
      <c r="T1484" s="63"/>
    </row>
    <row r="1485" spans="4:20" x14ac:dyDescent="0.35">
      <c r="D1485" s="63"/>
      <c r="S1485" s="63"/>
      <c r="T1485" s="63"/>
    </row>
    <row r="1486" spans="4:20" x14ac:dyDescent="0.35">
      <c r="D1486" s="63"/>
      <c r="S1486" s="63"/>
      <c r="T1486" s="63"/>
    </row>
    <row r="1487" spans="4:20" x14ac:dyDescent="0.35">
      <c r="D1487" s="63"/>
      <c r="S1487" s="63"/>
      <c r="T1487" s="63"/>
    </row>
    <row r="1488" spans="4:20" x14ac:dyDescent="0.35">
      <c r="D1488" s="63"/>
      <c r="S1488" s="63"/>
      <c r="T1488" s="63"/>
    </row>
    <row r="1489" spans="4:20" x14ac:dyDescent="0.35">
      <c r="D1489" s="63"/>
      <c r="S1489" s="63"/>
      <c r="T1489" s="63"/>
    </row>
    <row r="1490" spans="4:20" x14ac:dyDescent="0.35">
      <c r="D1490" s="63"/>
      <c r="S1490" s="63"/>
      <c r="T1490" s="63"/>
    </row>
    <row r="1491" spans="4:20" x14ac:dyDescent="0.35">
      <c r="D1491" s="63"/>
      <c r="S1491" s="63"/>
      <c r="T1491" s="63"/>
    </row>
    <row r="1492" spans="4:20" x14ac:dyDescent="0.35">
      <c r="D1492" s="63"/>
      <c r="S1492" s="63"/>
      <c r="T1492" s="63"/>
    </row>
    <row r="1493" spans="4:20" x14ac:dyDescent="0.35">
      <c r="D1493" s="63"/>
      <c r="S1493" s="63"/>
      <c r="T1493" s="63"/>
    </row>
    <row r="1494" spans="4:20" x14ac:dyDescent="0.35">
      <c r="D1494" s="63"/>
      <c r="S1494" s="63"/>
      <c r="T1494" s="63"/>
    </row>
    <row r="1495" spans="4:20" x14ac:dyDescent="0.35">
      <c r="D1495" s="63"/>
      <c r="S1495" s="63"/>
      <c r="T1495" s="63"/>
    </row>
    <row r="1496" spans="4:20" x14ac:dyDescent="0.35">
      <c r="D1496" s="63"/>
      <c r="S1496" s="63"/>
      <c r="T1496" s="63"/>
    </row>
    <row r="1497" spans="4:20" x14ac:dyDescent="0.35">
      <c r="D1497" s="63"/>
      <c r="S1497" s="63"/>
      <c r="T1497" s="63"/>
    </row>
    <row r="1498" spans="4:20" x14ac:dyDescent="0.35">
      <c r="D1498" s="63"/>
      <c r="S1498" s="63"/>
      <c r="T1498" s="63"/>
    </row>
    <row r="1499" spans="4:20" x14ac:dyDescent="0.35">
      <c r="D1499" s="63"/>
      <c r="S1499" s="63"/>
      <c r="T1499" s="63"/>
    </row>
    <row r="1500" spans="4:20" x14ac:dyDescent="0.35">
      <c r="D1500" s="63"/>
      <c r="S1500" s="63"/>
      <c r="T1500" s="63"/>
    </row>
    <row r="1501" spans="4:20" x14ac:dyDescent="0.35">
      <c r="D1501" s="63"/>
      <c r="S1501" s="63"/>
      <c r="T1501" s="63"/>
    </row>
    <row r="1502" spans="4:20" x14ac:dyDescent="0.35">
      <c r="D1502" s="63"/>
      <c r="S1502" s="63"/>
      <c r="T1502" s="63"/>
    </row>
    <row r="1503" spans="4:20" x14ac:dyDescent="0.35">
      <c r="D1503" s="63"/>
      <c r="S1503" s="63"/>
      <c r="T1503" s="63"/>
    </row>
    <row r="1504" spans="4:20" x14ac:dyDescent="0.35">
      <c r="D1504" s="63"/>
      <c r="S1504" s="63"/>
      <c r="T1504" s="63"/>
    </row>
    <row r="1505" spans="4:20" x14ac:dyDescent="0.35">
      <c r="D1505" s="63"/>
      <c r="S1505" s="63"/>
      <c r="T1505" s="63"/>
    </row>
    <row r="1506" spans="4:20" x14ac:dyDescent="0.35">
      <c r="D1506" s="63"/>
      <c r="S1506" s="63"/>
      <c r="T1506" s="63"/>
    </row>
    <row r="1507" spans="4:20" x14ac:dyDescent="0.35">
      <c r="D1507" s="63"/>
      <c r="S1507" s="63"/>
      <c r="T1507" s="63"/>
    </row>
    <row r="1508" spans="4:20" x14ac:dyDescent="0.35">
      <c r="D1508" s="63"/>
      <c r="S1508" s="63"/>
      <c r="T1508" s="63"/>
    </row>
    <row r="1509" spans="4:20" x14ac:dyDescent="0.35">
      <c r="D1509" s="63"/>
      <c r="S1509" s="63"/>
      <c r="T1509" s="63"/>
    </row>
    <row r="1510" spans="4:20" x14ac:dyDescent="0.35">
      <c r="D1510" s="63"/>
      <c r="S1510" s="63"/>
      <c r="T1510" s="63"/>
    </row>
    <row r="1511" spans="4:20" x14ac:dyDescent="0.35">
      <c r="D1511" s="63"/>
      <c r="S1511" s="63"/>
      <c r="T1511" s="63"/>
    </row>
    <row r="1512" spans="4:20" x14ac:dyDescent="0.35">
      <c r="D1512" s="63"/>
      <c r="S1512" s="63"/>
      <c r="T1512" s="63"/>
    </row>
    <row r="1513" spans="4:20" x14ac:dyDescent="0.35">
      <c r="D1513" s="63"/>
      <c r="S1513" s="63"/>
      <c r="T1513" s="63"/>
    </row>
    <row r="1514" spans="4:20" x14ac:dyDescent="0.35">
      <c r="D1514" s="63"/>
      <c r="S1514" s="63"/>
      <c r="T1514" s="63"/>
    </row>
    <row r="1515" spans="4:20" x14ac:dyDescent="0.35">
      <c r="D1515" s="63"/>
      <c r="S1515" s="63"/>
      <c r="T1515" s="63"/>
    </row>
    <row r="1516" spans="4:20" x14ac:dyDescent="0.35">
      <c r="D1516" s="63"/>
      <c r="S1516" s="63"/>
      <c r="T1516" s="63"/>
    </row>
    <row r="1517" spans="4:20" x14ac:dyDescent="0.35">
      <c r="D1517" s="63"/>
      <c r="S1517" s="63"/>
      <c r="T1517" s="63"/>
    </row>
    <row r="1518" spans="4:20" x14ac:dyDescent="0.35">
      <c r="D1518" s="63"/>
      <c r="S1518" s="63"/>
      <c r="T1518" s="63"/>
    </row>
    <row r="1519" spans="4:20" x14ac:dyDescent="0.35">
      <c r="D1519" s="63"/>
      <c r="S1519" s="63"/>
      <c r="T1519" s="63"/>
    </row>
    <row r="1520" spans="4:20" x14ac:dyDescent="0.35">
      <c r="D1520" s="63"/>
      <c r="S1520" s="63"/>
      <c r="T1520" s="63"/>
    </row>
    <row r="1521" spans="4:20" x14ac:dyDescent="0.35">
      <c r="D1521" s="63"/>
      <c r="S1521" s="63"/>
      <c r="T1521" s="63"/>
    </row>
    <row r="1522" spans="4:20" x14ac:dyDescent="0.35">
      <c r="D1522" s="63"/>
      <c r="S1522" s="63"/>
      <c r="T1522" s="63"/>
    </row>
    <row r="1523" spans="4:20" x14ac:dyDescent="0.35">
      <c r="D1523" s="63"/>
      <c r="S1523" s="63"/>
      <c r="T1523" s="63"/>
    </row>
    <row r="1524" spans="4:20" x14ac:dyDescent="0.35">
      <c r="D1524" s="63"/>
      <c r="S1524" s="63"/>
      <c r="T1524" s="63"/>
    </row>
    <row r="1525" spans="4:20" x14ac:dyDescent="0.35">
      <c r="D1525" s="63"/>
      <c r="S1525" s="63"/>
      <c r="T1525" s="63"/>
    </row>
    <row r="1526" spans="4:20" x14ac:dyDescent="0.35">
      <c r="D1526" s="63"/>
      <c r="S1526" s="63"/>
      <c r="T1526" s="63"/>
    </row>
    <row r="1527" spans="4:20" x14ac:dyDescent="0.35">
      <c r="D1527" s="63"/>
      <c r="S1527" s="63"/>
      <c r="T1527" s="63"/>
    </row>
    <row r="1528" spans="4:20" x14ac:dyDescent="0.35">
      <c r="D1528" s="63"/>
      <c r="S1528" s="63"/>
      <c r="T1528" s="63"/>
    </row>
    <row r="1529" spans="4:20" x14ac:dyDescent="0.35">
      <c r="D1529" s="63"/>
      <c r="S1529" s="63"/>
      <c r="T1529" s="63"/>
    </row>
    <row r="1530" spans="4:20" x14ac:dyDescent="0.35">
      <c r="D1530" s="63"/>
      <c r="S1530" s="63"/>
      <c r="T1530" s="63"/>
    </row>
    <row r="1531" spans="4:20" x14ac:dyDescent="0.35">
      <c r="D1531" s="63"/>
      <c r="S1531" s="63"/>
      <c r="T1531" s="63"/>
    </row>
    <row r="1532" spans="4:20" x14ac:dyDescent="0.35">
      <c r="D1532" s="63"/>
      <c r="S1532" s="63"/>
      <c r="T1532" s="63"/>
    </row>
    <row r="1533" spans="4:20" x14ac:dyDescent="0.35">
      <c r="D1533" s="63"/>
      <c r="S1533" s="63"/>
      <c r="T1533" s="63"/>
    </row>
    <row r="1534" spans="4:20" x14ac:dyDescent="0.35">
      <c r="D1534" s="63"/>
      <c r="S1534" s="63"/>
      <c r="T1534" s="63"/>
    </row>
    <row r="1535" spans="4:20" x14ac:dyDescent="0.35">
      <c r="D1535" s="63"/>
      <c r="S1535" s="63"/>
      <c r="T1535" s="63"/>
    </row>
    <row r="1536" spans="4:20" x14ac:dyDescent="0.35">
      <c r="D1536" s="63"/>
      <c r="S1536" s="63"/>
      <c r="T1536" s="63"/>
    </row>
    <row r="1537" spans="4:20" x14ac:dyDescent="0.35">
      <c r="D1537" s="63"/>
      <c r="S1537" s="63"/>
      <c r="T1537" s="63"/>
    </row>
    <row r="1538" spans="4:20" x14ac:dyDescent="0.35">
      <c r="D1538" s="63"/>
      <c r="S1538" s="63"/>
      <c r="T1538" s="63"/>
    </row>
    <row r="1539" spans="4:20" x14ac:dyDescent="0.35">
      <c r="D1539" s="63"/>
      <c r="S1539" s="63"/>
      <c r="T1539" s="63"/>
    </row>
    <row r="1540" spans="4:20" x14ac:dyDescent="0.35">
      <c r="D1540" s="63"/>
      <c r="S1540" s="63"/>
      <c r="T1540" s="63"/>
    </row>
    <row r="1541" spans="4:20" x14ac:dyDescent="0.35">
      <c r="D1541" s="63"/>
      <c r="S1541" s="63"/>
      <c r="T1541" s="63"/>
    </row>
    <row r="1542" spans="4:20" x14ac:dyDescent="0.35">
      <c r="D1542" s="63"/>
      <c r="S1542" s="63"/>
      <c r="T1542" s="63"/>
    </row>
    <row r="1543" spans="4:20" x14ac:dyDescent="0.35">
      <c r="D1543" s="63"/>
      <c r="S1543" s="63"/>
      <c r="T1543" s="63"/>
    </row>
    <row r="1544" spans="4:20" x14ac:dyDescent="0.35">
      <c r="D1544" s="63"/>
      <c r="S1544" s="63"/>
      <c r="T1544" s="63"/>
    </row>
    <row r="1545" spans="4:20" x14ac:dyDescent="0.35">
      <c r="D1545" s="63"/>
      <c r="S1545" s="63"/>
      <c r="T1545" s="63"/>
    </row>
    <row r="1546" spans="4:20" x14ac:dyDescent="0.35">
      <c r="D1546" s="63"/>
      <c r="S1546" s="63"/>
      <c r="T1546" s="63"/>
    </row>
    <row r="1547" spans="4:20" x14ac:dyDescent="0.35">
      <c r="D1547" s="63"/>
      <c r="S1547" s="63"/>
      <c r="T1547" s="63"/>
    </row>
    <row r="1548" spans="4:20" x14ac:dyDescent="0.35">
      <c r="D1548" s="63"/>
      <c r="S1548" s="63"/>
      <c r="T1548" s="63"/>
    </row>
    <row r="1549" spans="4:20" x14ac:dyDescent="0.35">
      <c r="D1549" s="63"/>
      <c r="S1549" s="63"/>
      <c r="T1549" s="63"/>
    </row>
    <row r="1550" spans="4:20" x14ac:dyDescent="0.35">
      <c r="D1550" s="63"/>
      <c r="S1550" s="63"/>
      <c r="T1550" s="63"/>
    </row>
    <row r="1551" spans="4:20" x14ac:dyDescent="0.35">
      <c r="D1551" s="63"/>
      <c r="S1551" s="63"/>
      <c r="T1551" s="63"/>
    </row>
    <row r="1552" spans="4:20" x14ac:dyDescent="0.35">
      <c r="D1552" s="63"/>
      <c r="S1552" s="63"/>
      <c r="T1552" s="63"/>
    </row>
    <row r="1553" spans="4:20" x14ac:dyDescent="0.35">
      <c r="D1553" s="63"/>
      <c r="S1553" s="63"/>
      <c r="T1553" s="63"/>
    </row>
    <row r="1554" spans="4:20" x14ac:dyDescent="0.35">
      <c r="D1554" s="63"/>
      <c r="S1554" s="63"/>
      <c r="T1554" s="63"/>
    </row>
    <row r="1555" spans="4:20" x14ac:dyDescent="0.35">
      <c r="D1555" s="63"/>
      <c r="S1555" s="63"/>
      <c r="T1555" s="63"/>
    </row>
    <row r="1556" spans="4:20" x14ac:dyDescent="0.35">
      <c r="D1556" s="63"/>
      <c r="S1556" s="63"/>
      <c r="T1556" s="63"/>
    </row>
    <row r="1557" spans="4:20" x14ac:dyDescent="0.35">
      <c r="D1557" s="63"/>
      <c r="S1557" s="63"/>
      <c r="T1557" s="63"/>
    </row>
    <row r="1558" spans="4:20" x14ac:dyDescent="0.35">
      <c r="D1558" s="63"/>
      <c r="S1558" s="63"/>
      <c r="T1558" s="63"/>
    </row>
    <row r="1559" spans="4:20" x14ac:dyDescent="0.35">
      <c r="D1559" s="63"/>
      <c r="S1559" s="63"/>
      <c r="T1559" s="63"/>
    </row>
    <row r="1560" spans="4:20" x14ac:dyDescent="0.35">
      <c r="D1560" s="63"/>
      <c r="S1560" s="63"/>
      <c r="T1560" s="63"/>
    </row>
    <row r="1561" spans="4:20" x14ac:dyDescent="0.35">
      <c r="D1561" s="63"/>
      <c r="S1561" s="63"/>
      <c r="T1561" s="63"/>
    </row>
    <row r="1562" spans="4:20" x14ac:dyDescent="0.35">
      <c r="D1562" s="63"/>
      <c r="S1562" s="63"/>
      <c r="T1562" s="63"/>
    </row>
    <row r="1563" spans="4:20" x14ac:dyDescent="0.35">
      <c r="D1563" s="63"/>
      <c r="S1563" s="63"/>
      <c r="T1563" s="63"/>
    </row>
    <row r="1564" spans="4:20" x14ac:dyDescent="0.35">
      <c r="D1564" s="63"/>
      <c r="S1564" s="63"/>
      <c r="T1564" s="63"/>
    </row>
    <row r="1565" spans="4:20" x14ac:dyDescent="0.35">
      <c r="D1565" s="63"/>
      <c r="S1565" s="63"/>
      <c r="T1565" s="63"/>
    </row>
    <row r="1566" spans="4:20" x14ac:dyDescent="0.35">
      <c r="D1566" s="63"/>
      <c r="S1566" s="63"/>
      <c r="T1566" s="63"/>
    </row>
    <row r="1567" spans="4:20" x14ac:dyDescent="0.35">
      <c r="D1567" s="63"/>
      <c r="S1567" s="63"/>
      <c r="T1567" s="63"/>
    </row>
    <row r="1568" spans="4:20" x14ac:dyDescent="0.35">
      <c r="D1568" s="63"/>
      <c r="S1568" s="63"/>
      <c r="T1568" s="63"/>
    </row>
    <row r="1569" spans="4:20" x14ac:dyDescent="0.35">
      <c r="D1569" s="63"/>
      <c r="S1569" s="63"/>
      <c r="T1569" s="63"/>
    </row>
    <row r="1570" spans="4:20" x14ac:dyDescent="0.35">
      <c r="D1570" s="63"/>
      <c r="S1570" s="63"/>
      <c r="T1570" s="63"/>
    </row>
    <row r="1571" spans="4:20" x14ac:dyDescent="0.35">
      <c r="D1571" s="63"/>
      <c r="S1571" s="63"/>
      <c r="T1571" s="63"/>
    </row>
    <row r="1572" spans="4:20" x14ac:dyDescent="0.35">
      <c r="D1572" s="63"/>
      <c r="S1572" s="63"/>
      <c r="T1572" s="63"/>
    </row>
    <row r="1573" spans="4:20" x14ac:dyDescent="0.35">
      <c r="D1573" s="63"/>
      <c r="S1573" s="63"/>
      <c r="T1573" s="63"/>
    </row>
    <row r="1574" spans="4:20" x14ac:dyDescent="0.35">
      <c r="D1574" s="63"/>
      <c r="S1574" s="63"/>
      <c r="T1574" s="63"/>
    </row>
    <row r="1575" spans="4:20" x14ac:dyDescent="0.35">
      <c r="D1575" s="63"/>
      <c r="S1575" s="63"/>
      <c r="T1575" s="63"/>
    </row>
    <row r="1576" spans="4:20" x14ac:dyDescent="0.35">
      <c r="D1576" s="63"/>
      <c r="S1576" s="63"/>
      <c r="T1576" s="63"/>
    </row>
    <row r="1577" spans="4:20" x14ac:dyDescent="0.35">
      <c r="D1577" s="63"/>
      <c r="S1577" s="63"/>
      <c r="T1577" s="63"/>
    </row>
    <row r="1578" spans="4:20" x14ac:dyDescent="0.35">
      <c r="D1578" s="63"/>
      <c r="S1578" s="63"/>
      <c r="T1578" s="63"/>
    </row>
    <row r="1579" spans="4:20" x14ac:dyDescent="0.35">
      <c r="D1579" s="63"/>
      <c r="S1579" s="63"/>
      <c r="T1579" s="63"/>
    </row>
    <row r="1580" spans="4:20" x14ac:dyDescent="0.35">
      <c r="D1580" s="63"/>
      <c r="S1580" s="63"/>
      <c r="T1580" s="63"/>
    </row>
    <row r="1581" spans="4:20" x14ac:dyDescent="0.35">
      <c r="D1581" s="63"/>
      <c r="S1581" s="63"/>
      <c r="T1581" s="63"/>
    </row>
    <row r="1582" spans="4:20" x14ac:dyDescent="0.35">
      <c r="D1582" s="63"/>
      <c r="S1582" s="63"/>
      <c r="T1582" s="63"/>
    </row>
    <row r="1583" spans="4:20" x14ac:dyDescent="0.35">
      <c r="D1583" s="63"/>
      <c r="S1583" s="63"/>
      <c r="T1583" s="63"/>
    </row>
    <row r="1584" spans="4:20" x14ac:dyDescent="0.35">
      <c r="D1584" s="63"/>
      <c r="S1584" s="63"/>
      <c r="T1584" s="63"/>
    </row>
    <row r="1585" spans="4:20" x14ac:dyDescent="0.35">
      <c r="D1585" s="63"/>
      <c r="S1585" s="63"/>
      <c r="T1585" s="63"/>
    </row>
    <row r="1586" spans="4:20" x14ac:dyDescent="0.35">
      <c r="D1586" s="63"/>
      <c r="S1586" s="63"/>
      <c r="T1586" s="63"/>
    </row>
    <row r="1587" spans="4:20" x14ac:dyDescent="0.35">
      <c r="D1587" s="63"/>
      <c r="S1587" s="63"/>
      <c r="T1587" s="63"/>
    </row>
    <row r="1588" spans="4:20" x14ac:dyDescent="0.35">
      <c r="D1588" s="63"/>
      <c r="S1588" s="63"/>
      <c r="T1588" s="63"/>
    </row>
    <row r="1589" spans="4:20" x14ac:dyDescent="0.35">
      <c r="D1589" s="63"/>
      <c r="S1589" s="63"/>
      <c r="T1589" s="63"/>
    </row>
    <row r="1590" spans="4:20" x14ac:dyDescent="0.35">
      <c r="D1590" s="63"/>
      <c r="S1590" s="63"/>
      <c r="T1590" s="63"/>
    </row>
    <row r="1591" spans="4:20" x14ac:dyDescent="0.35">
      <c r="D1591" s="63"/>
      <c r="S1591" s="63"/>
      <c r="T1591" s="63"/>
    </row>
    <row r="1592" spans="4:20" x14ac:dyDescent="0.35">
      <c r="D1592" s="63"/>
      <c r="S1592" s="63"/>
      <c r="T1592" s="63"/>
    </row>
    <row r="1593" spans="4:20" x14ac:dyDescent="0.35">
      <c r="D1593" s="63"/>
      <c r="S1593" s="63"/>
      <c r="T1593" s="63"/>
    </row>
    <row r="1594" spans="4:20" x14ac:dyDescent="0.35">
      <c r="D1594" s="63"/>
      <c r="S1594" s="63"/>
      <c r="T1594" s="63"/>
    </row>
    <row r="1595" spans="4:20" x14ac:dyDescent="0.35">
      <c r="D1595" s="63"/>
      <c r="S1595" s="63"/>
      <c r="T1595" s="63"/>
    </row>
    <row r="1596" spans="4:20" x14ac:dyDescent="0.35">
      <c r="D1596" s="63"/>
      <c r="S1596" s="63"/>
      <c r="T1596" s="63"/>
    </row>
    <row r="1597" spans="4:20" x14ac:dyDescent="0.35">
      <c r="D1597" s="63"/>
      <c r="S1597" s="63"/>
      <c r="T1597" s="63"/>
    </row>
    <row r="1598" spans="4:20" x14ac:dyDescent="0.35">
      <c r="D1598" s="63"/>
      <c r="S1598" s="63"/>
      <c r="T1598" s="63"/>
    </row>
    <row r="1599" spans="4:20" x14ac:dyDescent="0.35">
      <c r="D1599" s="63"/>
      <c r="S1599" s="63"/>
      <c r="T1599" s="63"/>
    </row>
    <row r="1600" spans="4:20" x14ac:dyDescent="0.35">
      <c r="D1600" s="63"/>
      <c r="S1600" s="63"/>
      <c r="T1600" s="63"/>
    </row>
    <row r="1601" spans="4:20" x14ac:dyDescent="0.35">
      <c r="D1601" s="63"/>
      <c r="S1601" s="63"/>
      <c r="T1601" s="63"/>
    </row>
    <row r="1602" spans="4:20" x14ac:dyDescent="0.35">
      <c r="D1602" s="63"/>
      <c r="S1602" s="63"/>
      <c r="T1602" s="63"/>
    </row>
    <row r="1603" spans="4:20" x14ac:dyDescent="0.35">
      <c r="D1603" s="63"/>
      <c r="S1603" s="63"/>
      <c r="T1603" s="63"/>
    </row>
    <row r="1604" spans="4:20" x14ac:dyDescent="0.35">
      <c r="D1604" s="63"/>
      <c r="S1604" s="63"/>
      <c r="T1604" s="63"/>
    </row>
    <row r="1605" spans="4:20" x14ac:dyDescent="0.35">
      <c r="D1605" s="63"/>
      <c r="S1605" s="63"/>
      <c r="T1605" s="63"/>
    </row>
    <row r="1606" spans="4:20" x14ac:dyDescent="0.35">
      <c r="D1606" s="63"/>
      <c r="S1606" s="63"/>
      <c r="T1606" s="63"/>
    </row>
    <row r="1607" spans="4:20" x14ac:dyDescent="0.35">
      <c r="D1607" s="63"/>
      <c r="S1607" s="63"/>
      <c r="T1607" s="63"/>
    </row>
    <row r="1608" spans="4:20" x14ac:dyDescent="0.35">
      <c r="D1608" s="63"/>
      <c r="S1608" s="63"/>
      <c r="T1608" s="63"/>
    </row>
    <row r="1609" spans="4:20" x14ac:dyDescent="0.35">
      <c r="D1609" s="63"/>
      <c r="S1609" s="63"/>
      <c r="T1609" s="63"/>
    </row>
    <row r="1610" spans="4:20" x14ac:dyDescent="0.35">
      <c r="D1610" s="63"/>
      <c r="S1610" s="63"/>
      <c r="T1610" s="63"/>
    </row>
    <row r="1611" spans="4:20" x14ac:dyDescent="0.35">
      <c r="D1611" s="63"/>
      <c r="S1611" s="63"/>
      <c r="T1611" s="63"/>
    </row>
    <row r="1612" spans="4:20" x14ac:dyDescent="0.35">
      <c r="D1612" s="63"/>
      <c r="S1612" s="63"/>
      <c r="T1612" s="63"/>
    </row>
    <row r="1613" spans="4:20" x14ac:dyDescent="0.35">
      <c r="D1613" s="63"/>
      <c r="S1613" s="63"/>
      <c r="T1613" s="63"/>
    </row>
    <row r="1614" spans="4:20" x14ac:dyDescent="0.35">
      <c r="D1614" s="63"/>
      <c r="S1614" s="63"/>
      <c r="T1614" s="63"/>
    </row>
    <row r="1615" spans="4:20" x14ac:dyDescent="0.35">
      <c r="D1615" s="63"/>
      <c r="S1615" s="63"/>
      <c r="T1615" s="63"/>
    </row>
    <row r="1616" spans="4:20" x14ac:dyDescent="0.35">
      <c r="D1616" s="63"/>
      <c r="S1616" s="63"/>
      <c r="T1616" s="63"/>
    </row>
    <row r="1617" spans="4:20" x14ac:dyDescent="0.35">
      <c r="D1617" s="63"/>
      <c r="S1617" s="63"/>
      <c r="T1617" s="63"/>
    </row>
    <row r="1618" spans="4:20" x14ac:dyDescent="0.35">
      <c r="D1618" s="63"/>
      <c r="S1618" s="63"/>
      <c r="T1618" s="63"/>
    </row>
    <row r="1619" spans="4:20" x14ac:dyDescent="0.35">
      <c r="D1619" s="63"/>
      <c r="S1619" s="63"/>
      <c r="T1619" s="63"/>
    </row>
    <row r="1620" spans="4:20" x14ac:dyDescent="0.35">
      <c r="D1620" s="63"/>
      <c r="S1620" s="63"/>
      <c r="T1620" s="63"/>
    </row>
    <row r="1621" spans="4:20" x14ac:dyDescent="0.35">
      <c r="D1621" s="63"/>
      <c r="S1621" s="63"/>
      <c r="T1621" s="63"/>
    </row>
    <row r="1622" spans="4:20" x14ac:dyDescent="0.35">
      <c r="D1622" s="63"/>
      <c r="S1622" s="63"/>
      <c r="T1622" s="63"/>
    </row>
    <row r="1623" spans="4:20" x14ac:dyDescent="0.35">
      <c r="D1623" s="63"/>
      <c r="S1623" s="63"/>
      <c r="T1623" s="63"/>
    </row>
    <row r="1624" spans="4:20" x14ac:dyDescent="0.35">
      <c r="D1624" s="63"/>
      <c r="S1624" s="63"/>
      <c r="T1624" s="63"/>
    </row>
    <row r="1625" spans="4:20" x14ac:dyDescent="0.35">
      <c r="D1625" s="63"/>
      <c r="S1625" s="63"/>
      <c r="T1625" s="63"/>
    </row>
    <row r="1626" spans="4:20" x14ac:dyDescent="0.35">
      <c r="D1626" s="63"/>
      <c r="S1626" s="63"/>
      <c r="T1626" s="63"/>
    </row>
    <row r="1627" spans="4:20" x14ac:dyDescent="0.35">
      <c r="D1627" s="63"/>
      <c r="S1627" s="63"/>
      <c r="T1627" s="63"/>
    </row>
    <row r="1628" spans="4:20" x14ac:dyDescent="0.35">
      <c r="D1628" s="63"/>
      <c r="S1628" s="63"/>
      <c r="T1628" s="63"/>
    </row>
    <row r="1629" spans="4:20" x14ac:dyDescent="0.35">
      <c r="D1629" s="63"/>
      <c r="S1629" s="63"/>
      <c r="T1629" s="63"/>
    </row>
    <row r="1630" spans="4:20" x14ac:dyDescent="0.35">
      <c r="D1630" s="63"/>
      <c r="S1630" s="63"/>
      <c r="T1630" s="63"/>
    </row>
    <row r="1631" spans="4:20" x14ac:dyDescent="0.35">
      <c r="D1631" s="63"/>
      <c r="S1631" s="63"/>
      <c r="T1631" s="63"/>
    </row>
    <row r="1632" spans="4:20" x14ac:dyDescent="0.35">
      <c r="D1632" s="63"/>
      <c r="S1632" s="63"/>
      <c r="T1632" s="63"/>
    </row>
    <row r="1633" spans="4:20" x14ac:dyDescent="0.35">
      <c r="D1633" s="63"/>
      <c r="S1633" s="63"/>
      <c r="T1633" s="63"/>
    </row>
    <row r="1634" spans="4:20" x14ac:dyDescent="0.35">
      <c r="D1634" s="63"/>
      <c r="S1634" s="63"/>
      <c r="T1634" s="63"/>
    </row>
    <row r="1635" spans="4:20" x14ac:dyDescent="0.35">
      <c r="D1635" s="63"/>
      <c r="S1635" s="63"/>
      <c r="T1635" s="63"/>
    </row>
    <row r="1636" spans="4:20" x14ac:dyDescent="0.35">
      <c r="D1636" s="63"/>
      <c r="S1636" s="63"/>
      <c r="T1636" s="63"/>
    </row>
    <row r="1637" spans="4:20" x14ac:dyDescent="0.35">
      <c r="D1637" s="63"/>
      <c r="S1637" s="63"/>
      <c r="T1637" s="63"/>
    </row>
    <row r="1638" spans="4:20" x14ac:dyDescent="0.35">
      <c r="D1638" s="63"/>
      <c r="S1638" s="63"/>
      <c r="T1638" s="63"/>
    </row>
    <row r="1639" spans="4:20" x14ac:dyDescent="0.35">
      <c r="D1639" s="63"/>
      <c r="S1639" s="63"/>
      <c r="T1639" s="63"/>
    </row>
    <row r="1640" spans="4:20" x14ac:dyDescent="0.35">
      <c r="D1640" s="63"/>
      <c r="S1640" s="63"/>
      <c r="T1640" s="63"/>
    </row>
    <row r="1641" spans="4:20" x14ac:dyDescent="0.35">
      <c r="D1641" s="63"/>
      <c r="S1641" s="63"/>
      <c r="T1641" s="63"/>
    </row>
    <row r="1642" spans="4:20" x14ac:dyDescent="0.35">
      <c r="D1642" s="63"/>
      <c r="S1642" s="63"/>
      <c r="T1642" s="63"/>
    </row>
    <row r="1643" spans="4:20" x14ac:dyDescent="0.35">
      <c r="D1643" s="63"/>
      <c r="S1643" s="63"/>
      <c r="T1643" s="63"/>
    </row>
    <row r="1644" spans="4:20" x14ac:dyDescent="0.35">
      <c r="D1644" s="63"/>
      <c r="S1644" s="63"/>
      <c r="T1644" s="63"/>
    </row>
    <row r="1645" spans="4:20" x14ac:dyDescent="0.35">
      <c r="D1645" s="63"/>
      <c r="S1645" s="63"/>
      <c r="T1645" s="63"/>
    </row>
    <row r="1646" spans="4:20" x14ac:dyDescent="0.35">
      <c r="D1646" s="63"/>
      <c r="S1646" s="63"/>
      <c r="T1646" s="63"/>
    </row>
    <row r="1647" spans="4:20" x14ac:dyDescent="0.35">
      <c r="D1647" s="63"/>
      <c r="S1647" s="63"/>
      <c r="T1647" s="63"/>
    </row>
    <row r="1648" spans="4:20" x14ac:dyDescent="0.35">
      <c r="D1648" s="63"/>
      <c r="S1648" s="63"/>
      <c r="T1648" s="63"/>
    </row>
    <row r="1649" spans="4:20" x14ac:dyDescent="0.35">
      <c r="D1649" s="63"/>
      <c r="S1649" s="63"/>
      <c r="T1649" s="63"/>
    </row>
    <row r="1650" spans="4:20" x14ac:dyDescent="0.35">
      <c r="D1650" s="63"/>
      <c r="S1650" s="63"/>
      <c r="T1650" s="63"/>
    </row>
    <row r="1651" spans="4:20" x14ac:dyDescent="0.35">
      <c r="D1651" s="63"/>
      <c r="S1651" s="63"/>
      <c r="T1651" s="63"/>
    </row>
    <row r="1652" spans="4:20" x14ac:dyDescent="0.35">
      <c r="D1652" s="63"/>
      <c r="S1652" s="63"/>
      <c r="T1652" s="63"/>
    </row>
    <row r="1653" spans="4:20" x14ac:dyDescent="0.35">
      <c r="D1653" s="63"/>
      <c r="S1653" s="63"/>
      <c r="T1653" s="63"/>
    </row>
    <row r="1654" spans="4:20" x14ac:dyDescent="0.35">
      <c r="D1654" s="63"/>
      <c r="S1654" s="63"/>
      <c r="T1654" s="63"/>
    </row>
    <row r="1655" spans="4:20" x14ac:dyDescent="0.35">
      <c r="D1655" s="63"/>
      <c r="S1655" s="63"/>
      <c r="T1655" s="63"/>
    </row>
    <row r="1656" spans="4:20" x14ac:dyDescent="0.35">
      <c r="D1656" s="63"/>
      <c r="S1656" s="63"/>
      <c r="T1656" s="63"/>
    </row>
    <row r="1657" spans="4:20" x14ac:dyDescent="0.35">
      <c r="D1657" s="63"/>
      <c r="S1657" s="63"/>
      <c r="T1657" s="63"/>
    </row>
    <row r="1658" spans="4:20" x14ac:dyDescent="0.35">
      <c r="D1658" s="63"/>
      <c r="S1658" s="63"/>
      <c r="T1658" s="63"/>
    </row>
    <row r="1659" spans="4:20" x14ac:dyDescent="0.35">
      <c r="D1659" s="63"/>
      <c r="S1659" s="63"/>
      <c r="T1659" s="63"/>
    </row>
    <row r="1660" spans="4:20" x14ac:dyDescent="0.35">
      <c r="D1660" s="63"/>
      <c r="S1660" s="63"/>
      <c r="T1660" s="63"/>
    </row>
    <row r="1661" spans="4:20" x14ac:dyDescent="0.35">
      <c r="D1661" s="63"/>
      <c r="S1661" s="63"/>
      <c r="T1661" s="63"/>
    </row>
    <row r="1662" spans="4:20" x14ac:dyDescent="0.35">
      <c r="D1662" s="63"/>
      <c r="S1662" s="63"/>
      <c r="T1662" s="63"/>
    </row>
    <row r="1663" spans="4:20" x14ac:dyDescent="0.35">
      <c r="D1663" s="63"/>
      <c r="S1663" s="63"/>
      <c r="T1663" s="63"/>
    </row>
    <row r="1664" spans="4:20" x14ac:dyDescent="0.35">
      <c r="D1664" s="63"/>
      <c r="S1664" s="63"/>
      <c r="T1664" s="63"/>
    </row>
    <row r="1665" spans="4:20" x14ac:dyDescent="0.35">
      <c r="D1665" s="63"/>
      <c r="S1665" s="63"/>
      <c r="T1665" s="63"/>
    </row>
    <row r="1666" spans="4:20" x14ac:dyDescent="0.35">
      <c r="D1666" s="63"/>
      <c r="S1666" s="63"/>
      <c r="T1666" s="63"/>
    </row>
    <row r="1667" spans="4:20" x14ac:dyDescent="0.35">
      <c r="D1667" s="63"/>
      <c r="S1667" s="63"/>
      <c r="T1667" s="63"/>
    </row>
    <row r="1668" spans="4:20" x14ac:dyDescent="0.35">
      <c r="D1668" s="63"/>
      <c r="S1668" s="63"/>
      <c r="T1668" s="63"/>
    </row>
    <row r="1669" spans="4:20" x14ac:dyDescent="0.35">
      <c r="D1669" s="63"/>
      <c r="S1669" s="63"/>
      <c r="T1669" s="63"/>
    </row>
    <row r="1670" spans="4:20" x14ac:dyDescent="0.35">
      <c r="D1670" s="63"/>
      <c r="S1670" s="63"/>
      <c r="T1670" s="63"/>
    </row>
    <row r="1671" spans="4:20" x14ac:dyDescent="0.35">
      <c r="D1671" s="63"/>
      <c r="S1671" s="63"/>
      <c r="T1671" s="63"/>
    </row>
    <row r="1672" spans="4:20" x14ac:dyDescent="0.35">
      <c r="D1672" s="63"/>
      <c r="S1672" s="63"/>
      <c r="T1672" s="63"/>
    </row>
    <row r="1673" spans="4:20" x14ac:dyDescent="0.35">
      <c r="D1673" s="63"/>
      <c r="S1673" s="63"/>
      <c r="T1673" s="63"/>
    </row>
    <row r="1674" spans="4:20" x14ac:dyDescent="0.35">
      <c r="D1674" s="63"/>
      <c r="S1674" s="63"/>
      <c r="T1674" s="63"/>
    </row>
    <row r="1675" spans="4:20" x14ac:dyDescent="0.35">
      <c r="D1675" s="63"/>
      <c r="S1675" s="63"/>
      <c r="T1675" s="63"/>
    </row>
    <row r="1676" spans="4:20" x14ac:dyDescent="0.35">
      <c r="D1676" s="63"/>
      <c r="S1676" s="63"/>
      <c r="T1676" s="63"/>
    </row>
    <row r="1677" spans="4:20" x14ac:dyDescent="0.35">
      <c r="D1677" s="63"/>
      <c r="S1677" s="63"/>
      <c r="T1677" s="63"/>
    </row>
    <row r="1678" spans="4:20" x14ac:dyDescent="0.35">
      <c r="D1678" s="63"/>
      <c r="S1678" s="63"/>
      <c r="T1678" s="63"/>
    </row>
    <row r="1679" spans="4:20" x14ac:dyDescent="0.35">
      <c r="D1679" s="63"/>
      <c r="S1679" s="63"/>
      <c r="T1679" s="63"/>
    </row>
    <row r="1680" spans="4:20" x14ac:dyDescent="0.35">
      <c r="D1680" s="63"/>
      <c r="S1680" s="63"/>
      <c r="T1680" s="63"/>
    </row>
    <row r="1681" spans="4:20" x14ac:dyDescent="0.35">
      <c r="D1681" s="63"/>
      <c r="S1681" s="63"/>
      <c r="T1681" s="63"/>
    </row>
    <row r="1682" spans="4:20" x14ac:dyDescent="0.35">
      <c r="D1682" s="63"/>
      <c r="S1682" s="63"/>
      <c r="T1682" s="63"/>
    </row>
    <row r="1683" spans="4:20" x14ac:dyDescent="0.35">
      <c r="D1683" s="63"/>
      <c r="S1683" s="63"/>
      <c r="T1683" s="63"/>
    </row>
    <row r="1684" spans="4:20" x14ac:dyDescent="0.35">
      <c r="D1684" s="63"/>
      <c r="S1684" s="63"/>
      <c r="T1684" s="63"/>
    </row>
    <row r="1685" spans="4:20" x14ac:dyDescent="0.35">
      <c r="D1685" s="63"/>
      <c r="S1685" s="63"/>
      <c r="T1685" s="63"/>
    </row>
    <row r="1686" spans="4:20" x14ac:dyDescent="0.35">
      <c r="D1686" s="63"/>
      <c r="S1686" s="63"/>
      <c r="T1686" s="63"/>
    </row>
    <row r="1687" spans="4:20" x14ac:dyDescent="0.35">
      <c r="D1687" s="63"/>
      <c r="S1687" s="63"/>
      <c r="T1687" s="63"/>
    </row>
    <row r="1688" spans="4:20" x14ac:dyDescent="0.35">
      <c r="D1688" s="63"/>
      <c r="S1688" s="63"/>
      <c r="T1688" s="63"/>
    </row>
    <row r="1689" spans="4:20" x14ac:dyDescent="0.35">
      <c r="D1689" s="63"/>
      <c r="S1689" s="63"/>
      <c r="T1689" s="63"/>
    </row>
    <row r="1690" spans="4:20" x14ac:dyDescent="0.35">
      <c r="D1690" s="63"/>
      <c r="S1690" s="63"/>
      <c r="T1690" s="63"/>
    </row>
    <row r="1691" spans="4:20" x14ac:dyDescent="0.35">
      <c r="D1691" s="63"/>
      <c r="S1691" s="63"/>
      <c r="T1691" s="63"/>
    </row>
    <row r="1692" spans="4:20" x14ac:dyDescent="0.35">
      <c r="D1692" s="63"/>
      <c r="S1692" s="63"/>
      <c r="T1692" s="63"/>
    </row>
    <row r="1693" spans="4:20" x14ac:dyDescent="0.35">
      <c r="D1693" s="63"/>
      <c r="S1693" s="63"/>
      <c r="T1693" s="63"/>
    </row>
    <row r="1694" spans="4:20" x14ac:dyDescent="0.35">
      <c r="D1694" s="63"/>
      <c r="S1694" s="63"/>
      <c r="T1694" s="63"/>
    </row>
    <row r="1695" spans="4:20" x14ac:dyDescent="0.35">
      <c r="D1695" s="63"/>
      <c r="S1695" s="63"/>
      <c r="T1695" s="63"/>
    </row>
    <row r="1696" spans="4:20" x14ac:dyDescent="0.35">
      <c r="D1696" s="63"/>
      <c r="S1696" s="63"/>
      <c r="T1696" s="63"/>
    </row>
    <row r="1697" spans="4:20" x14ac:dyDescent="0.35">
      <c r="D1697" s="63"/>
      <c r="S1697" s="63"/>
      <c r="T1697" s="63"/>
    </row>
    <row r="1698" spans="4:20" x14ac:dyDescent="0.35">
      <c r="D1698" s="63"/>
      <c r="S1698" s="63"/>
      <c r="T1698" s="63"/>
    </row>
    <row r="1699" spans="4:20" x14ac:dyDescent="0.35">
      <c r="D1699" s="63"/>
      <c r="S1699" s="63"/>
      <c r="T1699" s="63"/>
    </row>
    <row r="1700" spans="4:20" x14ac:dyDescent="0.35">
      <c r="D1700" s="63"/>
      <c r="S1700" s="63"/>
      <c r="T1700" s="63"/>
    </row>
    <row r="1701" spans="4:20" x14ac:dyDescent="0.35">
      <c r="D1701" s="63"/>
      <c r="S1701" s="63"/>
      <c r="T1701" s="63"/>
    </row>
    <row r="1702" spans="4:20" x14ac:dyDescent="0.35">
      <c r="D1702" s="63"/>
      <c r="S1702" s="63"/>
      <c r="T1702" s="63"/>
    </row>
    <row r="1703" spans="4:20" x14ac:dyDescent="0.35">
      <c r="D1703" s="63"/>
      <c r="S1703" s="63"/>
      <c r="T1703" s="63"/>
    </row>
    <row r="1704" spans="4:20" x14ac:dyDescent="0.35">
      <c r="D1704" s="63"/>
      <c r="S1704" s="63"/>
      <c r="T1704" s="63"/>
    </row>
    <row r="1705" spans="4:20" x14ac:dyDescent="0.35">
      <c r="D1705" s="63"/>
      <c r="S1705" s="63"/>
      <c r="T1705" s="63"/>
    </row>
    <row r="1706" spans="4:20" x14ac:dyDescent="0.35">
      <c r="D1706" s="63"/>
      <c r="S1706" s="63"/>
      <c r="T1706" s="63"/>
    </row>
    <row r="1707" spans="4:20" x14ac:dyDescent="0.35">
      <c r="D1707" s="63"/>
      <c r="S1707" s="63"/>
      <c r="T1707" s="63"/>
    </row>
    <row r="1708" spans="4:20" x14ac:dyDescent="0.35">
      <c r="D1708" s="63"/>
      <c r="S1708" s="63"/>
      <c r="T1708" s="63"/>
    </row>
    <row r="1709" spans="4:20" x14ac:dyDescent="0.35">
      <c r="D1709" s="63"/>
      <c r="S1709" s="63"/>
      <c r="T1709" s="63"/>
    </row>
    <row r="1710" spans="4:20" x14ac:dyDescent="0.35">
      <c r="D1710" s="63"/>
      <c r="S1710" s="63"/>
      <c r="T1710" s="63"/>
    </row>
    <row r="1711" spans="4:20" x14ac:dyDescent="0.35">
      <c r="D1711" s="63"/>
      <c r="S1711" s="63"/>
      <c r="T1711" s="63"/>
    </row>
    <row r="1712" spans="4:20" x14ac:dyDescent="0.35">
      <c r="D1712" s="63"/>
      <c r="S1712" s="63"/>
      <c r="T1712" s="63"/>
    </row>
    <row r="1713" spans="4:20" x14ac:dyDescent="0.35">
      <c r="D1713" s="63"/>
      <c r="S1713" s="63"/>
      <c r="T1713" s="63"/>
    </row>
    <row r="1714" spans="4:20" x14ac:dyDescent="0.35">
      <c r="D1714" s="63"/>
      <c r="S1714" s="63"/>
      <c r="T1714" s="63"/>
    </row>
    <row r="1715" spans="4:20" x14ac:dyDescent="0.35">
      <c r="D1715" s="63"/>
      <c r="S1715" s="63"/>
      <c r="T1715" s="63"/>
    </row>
    <row r="1716" spans="4:20" x14ac:dyDescent="0.35">
      <c r="D1716" s="63"/>
      <c r="S1716" s="63"/>
      <c r="T1716" s="63"/>
    </row>
    <row r="1717" spans="4:20" x14ac:dyDescent="0.35">
      <c r="D1717" s="63"/>
      <c r="S1717" s="63"/>
      <c r="T1717" s="63"/>
    </row>
    <row r="1718" spans="4:20" x14ac:dyDescent="0.35">
      <c r="D1718" s="63"/>
      <c r="S1718" s="63"/>
      <c r="T1718" s="63"/>
    </row>
    <row r="1719" spans="4:20" x14ac:dyDescent="0.35">
      <c r="D1719" s="63"/>
      <c r="S1719" s="63"/>
      <c r="T1719" s="63"/>
    </row>
    <row r="1720" spans="4:20" x14ac:dyDescent="0.35">
      <c r="D1720" s="63"/>
      <c r="S1720" s="63"/>
      <c r="T1720" s="63"/>
    </row>
    <row r="1721" spans="4:20" x14ac:dyDescent="0.35">
      <c r="D1721" s="63"/>
      <c r="S1721" s="63"/>
      <c r="T1721" s="63"/>
    </row>
    <row r="1722" spans="4:20" x14ac:dyDescent="0.35">
      <c r="D1722" s="63"/>
      <c r="S1722" s="63"/>
      <c r="T1722" s="63"/>
    </row>
    <row r="1723" spans="4:20" x14ac:dyDescent="0.35">
      <c r="D1723" s="63"/>
      <c r="S1723" s="63"/>
      <c r="T1723" s="63"/>
    </row>
    <row r="1724" spans="4:20" x14ac:dyDescent="0.35">
      <c r="D1724" s="63"/>
      <c r="S1724" s="63"/>
      <c r="T1724" s="63"/>
    </row>
    <row r="1725" spans="4:20" x14ac:dyDescent="0.35">
      <c r="D1725" s="63"/>
      <c r="S1725" s="63"/>
      <c r="T1725" s="63"/>
    </row>
    <row r="1726" spans="4:20" x14ac:dyDescent="0.35">
      <c r="D1726" s="63"/>
      <c r="S1726" s="63"/>
      <c r="T1726" s="63"/>
    </row>
    <row r="1727" spans="4:20" x14ac:dyDescent="0.35">
      <c r="D1727" s="63"/>
      <c r="S1727" s="63"/>
      <c r="T1727" s="63"/>
    </row>
    <row r="1728" spans="4:20" x14ac:dyDescent="0.35">
      <c r="D1728" s="63"/>
      <c r="S1728" s="63"/>
      <c r="T1728" s="63"/>
    </row>
    <row r="1729" spans="4:20" x14ac:dyDescent="0.35">
      <c r="D1729" s="63"/>
      <c r="S1729" s="63"/>
      <c r="T1729" s="63"/>
    </row>
    <row r="1730" spans="4:20" x14ac:dyDescent="0.35">
      <c r="D1730" s="63"/>
      <c r="S1730" s="63"/>
      <c r="T1730" s="63"/>
    </row>
    <row r="1731" spans="4:20" x14ac:dyDescent="0.35">
      <c r="D1731" s="63"/>
      <c r="S1731" s="63"/>
      <c r="T1731" s="63"/>
    </row>
    <row r="1732" spans="4:20" x14ac:dyDescent="0.35">
      <c r="D1732" s="63"/>
      <c r="S1732" s="63"/>
      <c r="T1732" s="63"/>
    </row>
    <row r="1733" spans="4:20" x14ac:dyDescent="0.35">
      <c r="D1733" s="63"/>
      <c r="S1733" s="63"/>
      <c r="T1733" s="63"/>
    </row>
    <row r="1734" spans="4:20" x14ac:dyDescent="0.35">
      <c r="D1734" s="63"/>
      <c r="S1734" s="63"/>
      <c r="T1734" s="63"/>
    </row>
    <row r="1735" spans="4:20" x14ac:dyDescent="0.35">
      <c r="D1735" s="63"/>
      <c r="S1735" s="63"/>
      <c r="T1735" s="63"/>
    </row>
    <row r="1736" spans="4:20" x14ac:dyDescent="0.35">
      <c r="D1736" s="63"/>
      <c r="S1736" s="63"/>
      <c r="T1736" s="63"/>
    </row>
    <row r="1737" spans="4:20" x14ac:dyDescent="0.35">
      <c r="D1737" s="63"/>
      <c r="S1737" s="63"/>
      <c r="T1737" s="63"/>
    </row>
    <row r="1738" spans="4:20" x14ac:dyDescent="0.35">
      <c r="D1738" s="63"/>
      <c r="S1738" s="63"/>
      <c r="T1738" s="63"/>
    </row>
    <row r="1739" spans="4:20" x14ac:dyDescent="0.35">
      <c r="D1739" s="63"/>
      <c r="S1739" s="63"/>
      <c r="T1739" s="63"/>
    </row>
    <row r="1740" spans="4:20" x14ac:dyDescent="0.35">
      <c r="D1740" s="63"/>
      <c r="S1740" s="63"/>
      <c r="T1740" s="63"/>
    </row>
    <row r="1741" spans="4:20" x14ac:dyDescent="0.35">
      <c r="D1741" s="63"/>
      <c r="S1741" s="63"/>
      <c r="T1741" s="63"/>
    </row>
    <row r="1742" spans="4:20" x14ac:dyDescent="0.35">
      <c r="D1742" s="63"/>
      <c r="S1742" s="63"/>
      <c r="T1742" s="63"/>
    </row>
    <row r="1743" spans="4:20" x14ac:dyDescent="0.35">
      <c r="D1743" s="63"/>
      <c r="S1743" s="63"/>
      <c r="T1743" s="63"/>
    </row>
    <row r="1744" spans="4:20" x14ac:dyDescent="0.35">
      <c r="D1744" s="63"/>
      <c r="S1744" s="63"/>
      <c r="T1744" s="63"/>
    </row>
    <row r="1745" spans="4:20" x14ac:dyDescent="0.35">
      <c r="D1745" s="63"/>
      <c r="S1745" s="63"/>
      <c r="T1745" s="63"/>
    </row>
    <row r="1746" spans="4:20" x14ac:dyDescent="0.35">
      <c r="D1746" s="63"/>
      <c r="S1746" s="63"/>
      <c r="T1746" s="63"/>
    </row>
    <row r="1747" spans="4:20" x14ac:dyDescent="0.35">
      <c r="D1747" s="63"/>
      <c r="S1747" s="63"/>
      <c r="T1747" s="63"/>
    </row>
    <row r="1748" spans="4:20" x14ac:dyDescent="0.35">
      <c r="D1748" s="63"/>
      <c r="S1748" s="63"/>
      <c r="T1748" s="63"/>
    </row>
    <row r="1749" spans="4:20" x14ac:dyDescent="0.35">
      <c r="D1749" s="63"/>
      <c r="S1749" s="63"/>
      <c r="T1749" s="63"/>
    </row>
    <row r="1750" spans="4:20" x14ac:dyDescent="0.35">
      <c r="D1750" s="63"/>
      <c r="S1750" s="63"/>
      <c r="T1750" s="63"/>
    </row>
    <row r="1751" spans="4:20" x14ac:dyDescent="0.35">
      <c r="D1751" s="63"/>
      <c r="S1751" s="63"/>
      <c r="T1751" s="63"/>
    </row>
    <row r="1752" spans="4:20" x14ac:dyDescent="0.35">
      <c r="D1752" s="63"/>
      <c r="S1752" s="63"/>
      <c r="T1752" s="63"/>
    </row>
    <row r="1753" spans="4:20" x14ac:dyDescent="0.35">
      <c r="D1753" s="63"/>
      <c r="S1753" s="63"/>
      <c r="T1753" s="63"/>
    </row>
    <row r="1754" spans="4:20" x14ac:dyDescent="0.35">
      <c r="D1754" s="63"/>
      <c r="S1754" s="63"/>
      <c r="T1754" s="63"/>
    </row>
    <row r="1755" spans="4:20" x14ac:dyDescent="0.35">
      <c r="D1755" s="63"/>
      <c r="S1755" s="63"/>
      <c r="T1755" s="63"/>
    </row>
    <row r="1756" spans="4:20" x14ac:dyDescent="0.35">
      <c r="D1756" s="63"/>
      <c r="S1756" s="63"/>
      <c r="T1756" s="63"/>
    </row>
    <row r="1757" spans="4:20" x14ac:dyDescent="0.35">
      <c r="D1757" s="63"/>
      <c r="S1757" s="63"/>
      <c r="T1757" s="63"/>
    </row>
    <row r="1758" spans="4:20" x14ac:dyDescent="0.35">
      <c r="D1758" s="63"/>
      <c r="S1758" s="63"/>
      <c r="T1758" s="63"/>
    </row>
    <row r="1759" spans="4:20" x14ac:dyDescent="0.35">
      <c r="D1759" s="63"/>
      <c r="S1759" s="63"/>
      <c r="T1759" s="63"/>
    </row>
    <row r="1760" spans="4:20" x14ac:dyDescent="0.35">
      <c r="D1760" s="63"/>
      <c r="S1760" s="63"/>
      <c r="T1760" s="63"/>
    </row>
    <row r="1761" spans="4:20" x14ac:dyDescent="0.35">
      <c r="D1761" s="63"/>
      <c r="S1761" s="63"/>
      <c r="T1761" s="63"/>
    </row>
    <row r="1762" spans="4:20" x14ac:dyDescent="0.35">
      <c r="D1762" s="63"/>
      <c r="S1762" s="63"/>
      <c r="T1762" s="63"/>
    </row>
    <row r="1763" spans="4:20" x14ac:dyDescent="0.35">
      <c r="D1763" s="63"/>
      <c r="S1763" s="63"/>
      <c r="T1763" s="63"/>
    </row>
    <row r="1764" spans="4:20" x14ac:dyDescent="0.35">
      <c r="D1764" s="63"/>
      <c r="S1764" s="63"/>
      <c r="T1764" s="63"/>
    </row>
    <row r="1765" spans="4:20" x14ac:dyDescent="0.35">
      <c r="D1765" s="63"/>
      <c r="S1765" s="63"/>
      <c r="T1765" s="63"/>
    </row>
    <row r="1766" spans="4:20" x14ac:dyDescent="0.35">
      <c r="D1766" s="63"/>
      <c r="S1766" s="63"/>
      <c r="T1766" s="63"/>
    </row>
    <row r="1767" spans="4:20" x14ac:dyDescent="0.35">
      <c r="D1767" s="63"/>
      <c r="S1767" s="63"/>
      <c r="T1767" s="63"/>
    </row>
    <row r="1768" spans="4:20" x14ac:dyDescent="0.35">
      <c r="D1768" s="63"/>
      <c r="S1768" s="63"/>
      <c r="T1768" s="63"/>
    </row>
    <row r="1769" spans="4:20" x14ac:dyDescent="0.35">
      <c r="D1769" s="63"/>
      <c r="S1769" s="63"/>
      <c r="T1769" s="63"/>
    </row>
    <row r="1770" spans="4:20" x14ac:dyDescent="0.35">
      <c r="D1770" s="63"/>
      <c r="S1770" s="63"/>
      <c r="T1770" s="63"/>
    </row>
    <row r="1771" spans="4:20" x14ac:dyDescent="0.35">
      <c r="D1771" s="63"/>
      <c r="S1771" s="63"/>
      <c r="T1771" s="63"/>
    </row>
    <row r="1772" spans="4:20" x14ac:dyDescent="0.35">
      <c r="D1772" s="63"/>
      <c r="S1772" s="63"/>
      <c r="T1772" s="63"/>
    </row>
    <row r="1773" spans="4:20" x14ac:dyDescent="0.35">
      <c r="D1773" s="63"/>
      <c r="S1773" s="63"/>
      <c r="T1773" s="63"/>
    </row>
    <row r="1774" spans="4:20" x14ac:dyDescent="0.35">
      <c r="D1774" s="63"/>
      <c r="S1774" s="63"/>
      <c r="T1774" s="63"/>
    </row>
    <row r="1775" spans="4:20" x14ac:dyDescent="0.35">
      <c r="D1775" s="63"/>
      <c r="S1775" s="63"/>
      <c r="T1775" s="63"/>
    </row>
    <row r="1776" spans="4:20" x14ac:dyDescent="0.35">
      <c r="D1776" s="63"/>
      <c r="S1776" s="63"/>
      <c r="T1776" s="63"/>
    </row>
    <row r="1777" spans="4:20" x14ac:dyDescent="0.35">
      <c r="D1777" s="63"/>
      <c r="S1777" s="63"/>
      <c r="T1777" s="63"/>
    </row>
    <row r="1778" spans="4:20" x14ac:dyDescent="0.35">
      <c r="D1778" s="63"/>
      <c r="S1778" s="63"/>
      <c r="T1778" s="63"/>
    </row>
    <row r="1779" spans="4:20" x14ac:dyDescent="0.35">
      <c r="D1779" s="63"/>
      <c r="S1779" s="63"/>
      <c r="T1779" s="63"/>
    </row>
    <row r="1780" spans="4:20" x14ac:dyDescent="0.35">
      <c r="D1780" s="63"/>
      <c r="S1780" s="63"/>
      <c r="T1780" s="63"/>
    </row>
    <row r="1781" spans="4:20" x14ac:dyDescent="0.35">
      <c r="D1781" s="63"/>
      <c r="S1781" s="63"/>
      <c r="T1781" s="63"/>
    </row>
    <row r="1782" spans="4:20" x14ac:dyDescent="0.35">
      <c r="D1782" s="63"/>
      <c r="S1782" s="63"/>
      <c r="T1782" s="63"/>
    </row>
    <row r="1783" spans="4:20" x14ac:dyDescent="0.35">
      <c r="D1783" s="63"/>
      <c r="S1783" s="63"/>
      <c r="T1783" s="63"/>
    </row>
    <row r="1784" spans="4:20" x14ac:dyDescent="0.35">
      <c r="D1784" s="63"/>
      <c r="S1784" s="63"/>
      <c r="T1784" s="63"/>
    </row>
    <row r="1785" spans="4:20" x14ac:dyDescent="0.35">
      <c r="D1785" s="63"/>
      <c r="S1785" s="63"/>
      <c r="T1785" s="63"/>
    </row>
    <row r="1786" spans="4:20" x14ac:dyDescent="0.35">
      <c r="D1786" s="63"/>
      <c r="S1786" s="63"/>
      <c r="T1786" s="63"/>
    </row>
    <row r="1787" spans="4:20" x14ac:dyDescent="0.35">
      <c r="D1787" s="63"/>
      <c r="S1787" s="63"/>
      <c r="T1787" s="63"/>
    </row>
    <row r="1788" spans="4:20" x14ac:dyDescent="0.35">
      <c r="D1788" s="63"/>
      <c r="S1788" s="63"/>
      <c r="T1788" s="63"/>
    </row>
    <row r="1789" spans="4:20" x14ac:dyDescent="0.35">
      <c r="D1789" s="63"/>
      <c r="S1789" s="63"/>
      <c r="T1789" s="63"/>
    </row>
    <row r="1790" spans="4:20" x14ac:dyDescent="0.35">
      <c r="D1790" s="63"/>
      <c r="S1790" s="63"/>
      <c r="T1790" s="63"/>
    </row>
    <row r="1791" spans="4:20" x14ac:dyDescent="0.35">
      <c r="D1791" s="63"/>
      <c r="S1791" s="63"/>
      <c r="T1791" s="63"/>
    </row>
    <row r="1792" spans="4:20" x14ac:dyDescent="0.35">
      <c r="D1792" s="63"/>
      <c r="S1792" s="63"/>
      <c r="T1792" s="63"/>
    </row>
    <row r="1793" spans="4:20" x14ac:dyDescent="0.35">
      <c r="D1793" s="63"/>
      <c r="S1793" s="63"/>
      <c r="T1793" s="63"/>
    </row>
    <row r="1794" spans="4:20" x14ac:dyDescent="0.35">
      <c r="D1794" s="63"/>
      <c r="S1794" s="63"/>
      <c r="T1794" s="63"/>
    </row>
    <row r="1795" spans="4:20" x14ac:dyDescent="0.35">
      <c r="D1795" s="63"/>
      <c r="S1795" s="63"/>
      <c r="T1795" s="63"/>
    </row>
    <row r="1796" spans="4:20" x14ac:dyDescent="0.35">
      <c r="D1796" s="63"/>
      <c r="S1796" s="63"/>
      <c r="T1796" s="63"/>
    </row>
    <row r="1797" spans="4:20" x14ac:dyDescent="0.35">
      <c r="D1797" s="63"/>
      <c r="S1797" s="63"/>
      <c r="T1797" s="63"/>
    </row>
    <row r="1798" spans="4:20" x14ac:dyDescent="0.35">
      <c r="D1798" s="63"/>
      <c r="S1798" s="63"/>
      <c r="T1798" s="63"/>
    </row>
    <row r="1799" spans="4:20" x14ac:dyDescent="0.35">
      <c r="D1799" s="63"/>
      <c r="S1799" s="63"/>
      <c r="T1799" s="63"/>
    </row>
    <row r="1800" spans="4:20" x14ac:dyDescent="0.35">
      <c r="D1800" s="63"/>
      <c r="S1800" s="63"/>
      <c r="T1800" s="63"/>
    </row>
    <row r="1801" spans="4:20" x14ac:dyDescent="0.35">
      <c r="D1801" s="63"/>
      <c r="S1801" s="63"/>
      <c r="T1801" s="63"/>
    </row>
    <row r="1802" spans="4:20" x14ac:dyDescent="0.35">
      <c r="D1802" s="63"/>
      <c r="S1802" s="63"/>
      <c r="T1802" s="63"/>
    </row>
    <row r="1803" spans="4:20" x14ac:dyDescent="0.35">
      <c r="D1803" s="63"/>
      <c r="S1803" s="63"/>
      <c r="T1803" s="63"/>
    </row>
    <row r="1804" spans="4:20" x14ac:dyDescent="0.35">
      <c r="D1804" s="63"/>
      <c r="S1804" s="63"/>
      <c r="T1804" s="63"/>
    </row>
    <row r="1805" spans="4:20" x14ac:dyDescent="0.35">
      <c r="D1805" s="63"/>
      <c r="S1805" s="63"/>
      <c r="T1805" s="63"/>
    </row>
    <row r="1806" spans="4:20" x14ac:dyDescent="0.35">
      <c r="D1806" s="63"/>
      <c r="S1806" s="63"/>
      <c r="T1806" s="63"/>
    </row>
    <row r="1807" spans="4:20" x14ac:dyDescent="0.35">
      <c r="D1807" s="63"/>
      <c r="S1807" s="63"/>
      <c r="T1807" s="63"/>
    </row>
    <row r="1808" spans="4:20" x14ac:dyDescent="0.35">
      <c r="D1808" s="63"/>
      <c r="S1808" s="63"/>
      <c r="T1808" s="63"/>
    </row>
    <row r="1809" spans="4:20" x14ac:dyDescent="0.35">
      <c r="D1809" s="63"/>
      <c r="S1809" s="63"/>
      <c r="T1809" s="63"/>
    </row>
    <row r="1810" spans="4:20" x14ac:dyDescent="0.35">
      <c r="D1810" s="63"/>
      <c r="S1810" s="63"/>
      <c r="T1810" s="63"/>
    </row>
    <row r="1811" spans="4:20" x14ac:dyDescent="0.35">
      <c r="D1811" s="63"/>
      <c r="S1811" s="63"/>
      <c r="T1811" s="63"/>
    </row>
    <row r="1812" spans="4:20" x14ac:dyDescent="0.35">
      <c r="D1812" s="63"/>
      <c r="S1812" s="63"/>
      <c r="T1812" s="63"/>
    </row>
    <row r="1813" spans="4:20" x14ac:dyDescent="0.35">
      <c r="D1813" s="63"/>
      <c r="S1813" s="63"/>
      <c r="T1813" s="63"/>
    </row>
    <row r="1814" spans="4:20" x14ac:dyDescent="0.35">
      <c r="D1814" s="63"/>
      <c r="S1814" s="63"/>
      <c r="T1814" s="63"/>
    </row>
    <row r="1815" spans="4:20" x14ac:dyDescent="0.35">
      <c r="D1815" s="63"/>
      <c r="S1815" s="63"/>
      <c r="T1815" s="63"/>
    </row>
    <row r="1816" spans="4:20" x14ac:dyDescent="0.35">
      <c r="D1816" s="63"/>
      <c r="S1816" s="63"/>
      <c r="T1816" s="63"/>
    </row>
    <row r="1817" spans="4:20" x14ac:dyDescent="0.35">
      <c r="D1817" s="63"/>
      <c r="S1817" s="63"/>
      <c r="T1817" s="63"/>
    </row>
    <row r="1818" spans="4:20" x14ac:dyDescent="0.35">
      <c r="D1818" s="63"/>
      <c r="S1818" s="63"/>
      <c r="T1818" s="63"/>
    </row>
    <row r="1819" spans="4:20" x14ac:dyDescent="0.35">
      <c r="D1819" s="63"/>
      <c r="S1819" s="63"/>
      <c r="T1819" s="63"/>
    </row>
    <row r="1820" spans="4:20" x14ac:dyDescent="0.35">
      <c r="D1820" s="63"/>
      <c r="S1820" s="63"/>
      <c r="T1820" s="63"/>
    </row>
    <row r="1821" spans="4:20" x14ac:dyDescent="0.35">
      <c r="D1821" s="63"/>
      <c r="S1821" s="63"/>
      <c r="T1821" s="63"/>
    </row>
    <row r="1822" spans="4:20" x14ac:dyDescent="0.35">
      <c r="D1822" s="63"/>
      <c r="S1822" s="63"/>
      <c r="T1822" s="63"/>
    </row>
    <row r="1823" spans="4:20" x14ac:dyDescent="0.35">
      <c r="D1823" s="63"/>
      <c r="S1823" s="63"/>
      <c r="T1823" s="63"/>
    </row>
    <row r="1824" spans="4:20" x14ac:dyDescent="0.35">
      <c r="D1824" s="63"/>
      <c r="S1824" s="63"/>
      <c r="T1824" s="63"/>
    </row>
    <row r="1825" spans="4:20" x14ac:dyDescent="0.35">
      <c r="D1825" s="63"/>
      <c r="S1825" s="63"/>
      <c r="T1825" s="63"/>
    </row>
    <row r="1826" spans="4:20" x14ac:dyDescent="0.35">
      <c r="D1826" s="63"/>
      <c r="S1826" s="63"/>
      <c r="T1826" s="63"/>
    </row>
    <row r="1827" spans="4:20" x14ac:dyDescent="0.35">
      <c r="D1827" s="63"/>
      <c r="S1827" s="63"/>
      <c r="T1827" s="63"/>
    </row>
    <row r="1828" spans="4:20" x14ac:dyDescent="0.35">
      <c r="D1828" s="63"/>
      <c r="S1828" s="63"/>
      <c r="T1828" s="63"/>
    </row>
    <row r="1829" spans="4:20" x14ac:dyDescent="0.35">
      <c r="D1829" s="63"/>
      <c r="S1829" s="63"/>
      <c r="T1829" s="63"/>
    </row>
    <row r="1830" spans="4:20" x14ac:dyDescent="0.35">
      <c r="D1830" s="63"/>
      <c r="S1830" s="63"/>
      <c r="T1830" s="63"/>
    </row>
    <row r="1831" spans="4:20" x14ac:dyDescent="0.35">
      <c r="D1831" s="63"/>
      <c r="S1831" s="63"/>
      <c r="T1831" s="63"/>
    </row>
    <row r="1832" spans="4:20" x14ac:dyDescent="0.35">
      <c r="D1832" s="63"/>
      <c r="S1832" s="63"/>
      <c r="T1832" s="63"/>
    </row>
    <row r="1833" spans="4:20" x14ac:dyDescent="0.35">
      <c r="D1833" s="63"/>
      <c r="S1833" s="63"/>
      <c r="T1833" s="63"/>
    </row>
    <row r="1834" spans="4:20" x14ac:dyDescent="0.35">
      <c r="D1834" s="63"/>
      <c r="S1834" s="63"/>
      <c r="T1834" s="63"/>
    </row>
    <row r="1835" spans="4:20" x14ac:dyDescent="0.35">
      <c r="D1835" s="63"/>
      <c r="S1835" s="63"/>
      <c r="T1835" s="63"/>
    </row>
    <row r="1836" spans="4:20" x14ac:dyDescent="0.35">
      <c r="D1836" s="63"/>
      <c r="S1836" s="63"/>
      <c r="T1836" s="63"/>
    </row>
    <row r="1837" spans="4:20" x14ac:dyDescent="0.35">
      <c r="D1837" s="63"/>
      <c r="S1837" s="63"/>
      <c r="T1837" s="63"/>
    </row>
    <row r="1838" spans="4:20" x14ac:dyDescent="0.35">
      <c r="D1838" s="63"/>
      <c r="S1838" s="63"/>
      <c r="T1838" s="63"/>
    </row>
    <row r="1839" spans="4:20" x14ac:dyDescent="0.35">
      <c r="D1839" s="63"/>
      <c r="S1839" s="63"/>
      <c r="T1839" s="63"/>
    </row>
    <row r="1840" spans="4:20" x14ac:dyDescent="0.35">
      <c r="D1840" s="63"/>
      <c r="S1840" s="63"/>
      <c r="T1840" s="63"/>
    </row>
    <row r="1841" spans="4:20" x14ac:dyDescent="0.35">
      <c r="D1841" s="63"/>
      <c r="S1841" s="63"/>
      <c r="T1841" s="63"/>
    </row>
    <row r="1842" spans="4:20" x14ac:dyDescent="0.35">
      <c r="D1842" s="63"/>
      <c r="S1842" s="63"/>
      <c r="T1842" s="63"/>
    </row>
    <row r="1843" spans="4:20" x14ac:dyDescent="0.35">
      <c r="D1843" s="63"/>
      <c r="S1843" s="63"/>
      <c r="T1843" s="63"/>
    </row>
    <row r="1844" spans="4:20" x14ac:dyDescent="0.35">
      <c r="D1844" s="63"/>
      <c r="S1844" s="63"/>
      <c r="T1844" s="63"/>
    </row>
    <row r="1845" spans="4:20" x14ac:dyDescent="0.35">
      <c r="D1845" s="63"/>
      <c r="S1845" s="63"/>
      <c r="T1845" s="63"/>
    </row>
    <row r="1846" spans="4:20" x14ac:dyDescent="0.35">
      <c r="D1846" s="63"/>
      <c r="S1846" s="63"/>
      <c r="T1846" s="63"/>
    </row>
    <row r="1847" spans="4:20" x14ac:dyDescent="0.35">
      <c r="D1847" s="63"/>
      <c r="S1847" s="63"/>
      <c r="T1847" s="63"/>
    </row>
    <row r="1848" spans="4:20" x14ac:dyDescent="0.35">
      <c r="D1848" s="63"/>
      <c r="S1848" s="63"/>
      <c r="T1848" s="63"/>
    </row>
    <row r="1849" spans="4:20" x14ac:dyDescent="0.35">
      <c r="D1849" s="63"/>
      <c r="S1849" s="63"/>
      <c r="T1849" s="63"/>
    </row>
    <row r="1850" spans="4:20" x14ac:dyDescent="0.35">
      <c r="D1850" s="63"/>
      <c r="S1850" s="63"/>
      <c r="T1850" s="63"/>
    </row>
    <row r="1851" spans="4:20" x14ac:dyDescent="0.35">
      <c r="D1851" s="63"/>
      <c r="S1851" s="63"/>
      <c r="T1851" s="63"/>
    </row>
    <row r="1852" spans="4:20" x14ac:dyDescent="0.35">
      <c r="D1852" s="63"/>
      <c r="S1852" s="63"/>
      <c r="T1852" s="63"/>
    </row>
    <row r="1853" spans="4:20" x14ac:dyDescent="0.35">
      <c r="D1853" s="63"/>
      <c r="S1853" s="63"/>
      <c r="T1853" s="63"/>
    </row>
    <row r="1854" spans="4:20" x14ac:dyDescent="0.35">
      <c r="D1854" s="63"/>
      <c r="S1854" s="63"/>
      <c r="T1854" s="63"/>
    </row>
    <row r="1855" spans="4:20" x14ac:dyDescent="0.35">
      <c r="D1855" s="63"/>
      <c r="S1855" s="63"/>
      <c r="T1855" s="63"/>
    </row>
    <row r="1856" spans="4:20" x14ac:dyDescent="0.35">
      <c r="D1856" s="63"/>
      <c r="S1856" s="63"/>
      <c r="T1856" s="63"/>
    </row>
    <row r="1857" spans="4:20" x14ac:dyDescent="0.35">
      <c r="D1857" s="63"/>
      <c r="S1857" s="63"/>
      <c r="T1857" s="63"/>
    </row>
    <row r="1858" spans="4:20" x14ac:dyDescent="0.35">
      <c r="D1858" s="63"/>
      <c r="S1858" s="63"/>
      <c r="T1858" s="63"/>
    </row>
    <row r="1859" spans="4:20" x14ac:dyDescent="0.35">
      <c r="D1859" s="63"/>
      <c r="S1859" s="63"/>
      <c r="T1859" s="63"/>
    </row>
    <row r="1860" spans="4:20" x14ac:dyDescent="0.35">
      <c r="D1860" s="63"/>
      <c r="S1860" s="63"/>
      <c r="T1860" s="63"/>
    </row>
    <row r="1861" spans="4:20" x14ac:dyDescent="0.35">
      <c r="D1861" s="63"/>
      <c r="S1861" s="63"/>
      <c r="T1861" s="63"/>
    </row>
    <row r="1862" spans="4:20" x14ac:dyDescent="0.35">
      <c r="D1862" s="63"/>
      <c r="S1862" s="63"/>
      <c r="T1862" s="63"/>
    </row>
    <row r="1863" spans="4:20" x14ac:dyDescent="0.35">
      <c r="D1863" s="63"/>
      <c r="S1863" s="63"/>
      <c r="T1863" s="63"/>
    </row>
    <row r="1864" spans="4:20" x14ac:dyDescent="0.35">
      <c r="D1864" s="63"/>
      <c r="S1864" s="63"/>
      <c r="T1864" s="63"/>
    </row>
    <row r="1865" spans="4:20" x14ac:dyDescent="0.35">
      <c r="D1865" s="63"/>
      <c r="S1865" s="63"/>
      <c r="T1865" s="63"/>
    </row>
    <row r="1866" spans="4:20" x14ac:dyDescent="0.35">
      <c r="D1866" s="63"/>
      <c r="S1866" s="63"/>
      <c r="T1866" s="63"/>
    </row>
    <row r="1867" spans="4:20" x14ac:dyDescent="0.35">
      <c r="D1867" s="63"/>
      <c r="S1867" s="63"/>
      <c r="T1867" s="63"/>
    </row>
    <row r="1868" spans="4:20" x14ac:dyDescent="0.35">
      <c r="D1868" s="63"/>
      <c r="S1868" s="63"/>
      <c r="T1868" s="63"/>
    </row>
    <row r="1869" spans="4:20" x14ac:dyDescent="0.35">
      <c r="D1869" s="63"/>
      <c r="S1869" s="63"/>
      <c r="T1869" s="63"/>
    </row>
    <row r="1870" spans="4:20" x14ac:dyDescent="0.35">
      <c r="D1870" s="63"/>
      <c r="S1870" s="63"/>
      <c r="T1870" s="63"/>
    </row>
    <row r="1871" spans="4:20" x14ac:dyDescent="0.35">
      <c r="D1871" s="63"/>
      <c r="S1871" s="63"/>
      <c r="T1871" s="63"/>
    </row>
    <row r="1872" spans="4:20" x14ac:dyDescent="0.35">
      <c r="D1872" s="63"/>
      <c r="S1872" s="63"/>
      <c r="T1872" s="63"/>
    </row>
    <row r="1873" spans="4:20" x14ac:dyDescent="0.35">
      <c r="D1873" s="63"/>
      <c r="S1873" s="63"/>
      <c r="T1873" s="63"/>
    </row>
    <row r="1874" spans="4:20" x14ac:dyDescent="0.35">
      <c r="D1874" s="63"/>
      <c r="S1874" s="63"/>
      <c r="T1874" s="63"/>
    </row>
    <row r="1875" spans="4:20" x14ac:dyDescent="0.35">
      <c r="D1875" s="63"/>
      <c r="S1875" s="63"/>
      <c r="T1875" s="63"/>
    </row>
    <row r="1876" spans="4:20" x14ac:dyDescent="0.35">
      <c r="D1876" s="63"/>
      <c r="S1876" s="63"/>
      <c r="T1876" s="63"/>
    </row>
    <row r="1877" spans="4:20" x14ac:dyDescent="0.35">
      <c r="D1877" s="63"/>
      <c r="S1877" s="63"/>
      <c r="T1877" s="63"/>
    </row>
    <row r="1878" spans="4:20" x14ac:dyDescent="0.35">
      <c r="D1878" s="63"/>
      <c r="S1878" s="63"/>
      <c r="T1878" s="63"/>
    </row>
    <row r="1879" spans="4:20" x14ac:dyDescent="0.35">
      <c r="D1879" s="63"/>
      <c r="S1879" s="63"/>
      <c r="T1879" s="63"/>
    </row>
    <row r="1880" spans="4:20" x14ac:dyDescent="0.35">
      <c r="D1880" s="63"/>
      <c r="S1880" s="63"/>
      <c r="T1880" s="63"/>
    </row>
    <row r="1881" spans="4:20" x14ac:dyDescent="0.35">
      <c r="D1881" s="63"/>
      <c r="S1881" s="63"/>
      <c r="T1881" s="63"/>
    </row>
    <row r="1882" spans="4:20" x14ac:dyDescent="0.35">
      <c r="D1882" s="63"/>
      <c r="S1882" s="63"/>
      <c r="T1882" s="63"/>
    </row>
    <row r="1883" spans="4:20" x14ac:dyDescent="0.35">
      <c r="D1883" s="63"/>
      <c r="S1883" s="63"/>
      <c r="T1883" s="63"/>
    </row>
    <row r="1884" spans="4:20" x14ac:dyDescent="0.35">
      <c r="D1884" s="63"/>
      <c r="S1884" s="63"/>
      <c r="T1884" s="63"/>
    </row>
    <row r="1885" spans="4:20" x14ac:dyDescent="0.35">
      <c r="D1885" s="63"/>
      <c r="S1885" s="63"/>
      <c r="T1885" s="63"/>
    </row>
    <row r="1886" spans="4:20" x14ac:dyDescent="0.35">
      <c r="D1886" s="63"/>
      <c r="S1886" s="63"/>
      <c r="T1886" s="63"/>
    </row>
    <row r="1887" spans="4:20" x14ac:dyDescent="0.35">
      <c r="D1887" s="63"/>
      <c r="S1887" s="63"/>
      <c r="T1887" s="63"/>
    </row>
    <row r="1888" spans="4:20" x14ac:dyDescent="0.35">
      <c r="D1888" s="63"/>
      <c r="S1888" s="63"/>
      <c r="T1888" s="63"/>
    </row>
    <row r="1889" spans="4:20" x14ac:dyDescent="0.35">
      <c r="D1889" s="63"/>
      <c r="S1889" s="63"/>
      <c r="T1889" s="63"/>
    </row>
    <row r="1890" spans="4:20" x14ac:dyDescent="0.35">
      <c r="D1890" s="63"/>
      <c r="S1890" s="63"/>
      <c r="T1890" s="63"/>
    </row>
    <row r="1891" spans="4:20" x14ac:dyDescent="0.35">
      <c r="D1891" s="63"/>
      <c r="S1891" s="63"/>
      <c r="T1891" s="63"/>
    </row>
    <row r="1892" spans="4:20" x14ac:dyDescent="0.35">
      <c r="D1892" s="63"/>
      <c r="S1892" s="63"/>
      <c r="T1892" s="63"/>
    </row>
    <row r="1893" spans="4:20" x14ac:dyDescent="0.35">
      <c r="D1893" s="63"/>
      <c r="S1893" s="63"/>
      <c r="T1893" s="63"/>
    </row>
    <row r="1894" spans="4:20" x14ac:dyDescent="0.35">
      <c r="D1894" s="63"/>
      <c r="S1894" s="63"/>
      <c r="T1894" s="63"/>
    </row>
    <row r="1895" spans="4:20" x14ac:dyDescent="0.35">
      <c r="D1895" s="63"/>
      <c r="S1895" s="63"/>
      <c r="T1895" s="63"/>
    </row>
    <row r="1896" spans="4:20" x14ac:dyDescent="0.35">
      <c r="D1896" s="63"/>
      <c r="S1896" s="63"/>
      <c r="T1896" s="63"/>
    </row>
    <row r="1897" spans="4:20" x14ac:dyDescent="0.35">
      <c r="D1897" s="63"/>
      <c r="S1897" s="63"/>
      <c r="T1897" s="63"/>
    </row>
    <row r="1898" spans="4:20" x14ac:dyDescent="0.35">
      <c r="D1898" s="63"/>
      <c r="S1898" s="63"/>
      <c r="T1898" s="63"/>
    </row>
    <row r="1899" spans="4:20" x14ac:dyDescent="0.35">
      <c r="D1899" s="63"/>
      <c r="S1899" s="63"/>
      <c r="T1899" s="63"/>
    </row>
    <row r="1900" spans="4:20" x14ac:dyDescent="0.35">
      <c r="D1900" s="63"/>
      <c r="S1900" s="63"/>
      <c r="T1900" s="63"/>
    </row>
    <row r="1901" spans="4:20" x14ac:dyDescent="0.35">
      <c r="D1901" s="63"/>
      <c r="S1901" s="63"/>
      <c r="T1901" s="63"/>
    </row>
    <row r="1902" spans="4:20" x14ac:dyDescent="0.35">
      <c r="D1902" s="63"/>
      <c r="S1902" s="63"/>
      <c r="T1902" s="63"/>
    </row>
    <row r="1903" spans="4:20" x14ac:dyDescent="0.35">
      <c r="D1903" s="63"/>
      <c r="S1903" s="63"/>
      <c r="T1903" s="63"/>
    </row>
    <row r="1904" spans="4:20" x14ac:dyDescent="0.35">
      <c r="D1904" s="63"/>
      <c r="S1904" s="63"/>
      <c r="T1904" s="63"/>
    </row>
    <row r="1905" spans="4:20" x14ac:dyDescent="0.35">
      <c r="D1905" s="63"/>
      <c r="S1905" s="63"/>
      <c r="T1905" s="63"/>
    </row>
    <row r="1906" spans="4:20" x14ac:dyDescent="0.35">
      <c r="D1906" s="63"/>
      <c r="S1906" s="63"/>
      <c r="T1906" s="63"/>
    </row>
    <row r="1907" spans="4:20" x14ac:dyDescent="0.35">
      <c r="D1907" s="63"/>
      <c r="S1907" s="63"/>
      <c r="T1907" s="63"/>
    </row>
    <row r="1908" spans="4:20" x14ac:dyDescent="0.35">
      <c r="D1908" s="63"/>
      <c r="S1908" s="63"/>
      <c r="T1908" s="63"/>
    </row>
    <row r="1909" spans="4:20" x14ac:dyDescent="0.35">
      <c r="D1909" s="63"/>
      <c r="S1909" s="63"/>
      <c r="T1909" s="63"/>
    </row>
    <row r="1910" spans="4:20" x14ac:dyDescent="0.35">
      <c r="D1910" s="63"/>
      <c r="S1910" s="63"/>
      <c r="T1910" s="63"/>
    </row>
    <row r="1911" spans="4:20" x14ac:dyDescent="0.35">
      <c r="D1911" s="63"/>
      <c r="S1911" s="63"/>
      <c r="T1911" s="63"/>
    </row>
    <row r="1912" spans="4:20" x14ac:dyDescent="0.35">
      <c r="D1912" s="63"/>
      <c r="S1912" s="63"/>
      <c r="T1912" s="63"/>
    </row>
    <row r="1913" spans="4:20" x14ac:dyDescent="0.35">
      <c r="D1913" s="63"/>
      <c r="S1913" s="63"/>
      <c r="T1913" s="63"/>
    </row>
    <row r="1914" spans="4:20" x14ac:dyDescent="0.35">
      <c r="D1914" s="63"/>
      <c r="S1914" s="63"/>
      <c r="T1914" s="63"/>
    </row>
    <row r="1915" spans="4:20" x14ac:dyDescent="0.35">
      <c r="D1915" s="63"/>
      <c r="S1915" s="63"/>
      <c r="T1915" s="63"/>
    </row>
    <row r="1916" spans="4:20" x14ac:dyDescent="0.35">
      <c r="D1916" s="63"/>
      <c r="S1916" s="63"/>
      <c r="T1916" s="63"/>
    </row>
    <row r="1917" spans="4:20" x14ac:dyDescent="0.35">
      <c r="D1917" s="63"/>
      <c r="S1917" s="63"/>
      <c r="T1917" s="63"/>
    </row>
    <row r="1918" spans="4:20" x14ac:dyDescent="0.35">
      <c r="D1918" s="63"/>
      <c r="S1918" s="63"/>
      <c r="T1918" s="63"/>
    </row>
    <row r="1919" spans="4:20" x14ac:dyDescent="0.35">
      <c r="D1919" s="63"/>
      <c r="S1919" s="63"/>
      <c r="T1919" s="63"/>
    </row>
    <row r="1920" spans="4:20" x14ac:dyDescent="0.35">
      <c r="D1920" s="63"/>
      <c r="S1920" s="63"/>
      <c r="T1920" s="63"/>
    </row>
    <row r="1921" spans="4:20" x14ac:dyDescent="0.35">
      <c r="D1921" s="63"/>
      <c r="S1921" s="63"/>
      <c r="T1921" s="63"/>
    </row>
    <row r="1922" spans="4:20" x14ac:dyDescent="0.35">
      <c r="D1922" s="63"/>
      <c r="S1922" s="63"/>
      <c r="T1922" s="63"/>
    </row>
    <row r="1923" spans="4:20" x14ac:dyDescent="0.35">
      <c r="D1923" s="63"/>
      <c r="S1923" s="63"/>
      <c r="T1923" s="63"/>
    </row>
    <row r="1924" spans="4:20" x14ac:dyDescent="0.35">
      <c r="D1924" s="63"/>
      <c r="S1924" s="63"/>
      <c r="T1924" s="63"/>
    </row>
    <row r="1925" spans="4:20" x14ac:dyDescent="0.35">
      <c r="D1925" s="63"/>
      <c r="S1925" s="63"/>
      <c r="T1925" s="63"/>
    </row>
    <row r="1926" spans="4:20" x14ac:dyDescent="0.35">
      <c r="D1926" s="63"/>
      <c r="S1926" s="63"/>
      <c r="T1926" s="63"/>
    </row>
    <row r="1927" spans="4:20" x14ac:dyDescent="0.35">
      <c r="D1927" s="63"/>
      <c r="S1927" s="63"/>
      <c r="T1927" s="63"/>
    </row>
    <row r="1928" spans="4:20" x14ac:dyDescent="0.35">
      <c r="D1928" s="63"/>
      <c r="S1928" s="63"/>
      <c r="T1928" s="63"/>
    </row>
    <row r="1929" spans="4:20" x14ac:dyDescent="0.35">
      <c r="D1929" s="63"/>
      <c r="S1929" s="63"/>
      <c r="T1929" s="63"/>
    </row>
    <row r="1930" spans="4:20" x14ac:dyDescent="0.35">
      <c r="D1930" s="63"/>
      <c r="S1930" s="63"/>
      <c r="T1930" s="63"/>
    </row>
    <row r="1931" spans="4:20" x14ac:dyDescent="0.35">
      <c r="D1931" s="63"/>
      <c r="S1931" s="63"/>
      <c r="T1931" s="63"/>
    </row>
    <row r="1932" spans="4:20" x14ac:dyDescent="0.35">
      <c r="D1932" s="63"/>
      <c r="S1932" s="63"/>
      <c r="T1932" s="63"/>
    </row>
    <row r="1933" spans="4:20" x14ac:dyDescent="0.35">
      <c r="D1933" s="63"/>
      <c r="S1933" s="63"/>
      <c r="T1933" s="63"/>
    </row>
    <row r="1934" spans="4:20" x14ac:dyDescent="0.35">
      <c r="D1934" s="63"/>
      <c r="S1934" s="63"/>
      <c r="T1934" s="63"/>
    </row>
    <row r="1935" spans="4:20" x14ac:dyDescent="0.35">
      <c r="D1935" s="63"/>
      <c r="S1935" s="63"/>
      <c r="T1935" s="63"/>
    </row>
    <row r="1936" spans="4:20" x14ac:dyDescent="0.35">
      <c r="D1936" s="63"/>
      <c r="S1936" s="63"/>
      <c r="T1936" s="63"/>
    </row>
    <row r="1937" spans="4:20" x14ac:dyDescent="0.35">
      <c r="D1937" s="63"/>
      <c r="S1937" s="63"/>
      <c r="T1937" s="63"/>
    </row>
    <row r="1938" spans="4:20" x14ac:dyDescent="0.35">
      <c r="D1938" s="63"/>
      <c r="S1938" s="63"/>
      <c r="T1938" s="63"/>
    </row>
    <row r="1939" spans="4:20" x14ac:dyDescent="0.35">
      <c r="D1939" s="63"/>
      <c r="S1939" s="63"/>
      <c r="T1939" s="63"/>
    </row>
    <row r="1940" spans="4:20" x14ac:dyDescent="0.35">
      <c r="D1940" s="63"/>
      <c r="S1940" s="63"/>
      <c r="T1940" s="63"/>
    </row>
    <row r="1941" spans="4:20" x14ac:dyDescent="0.35">
      <c r="D1941" s="63"/>
      <c r="S1941" s="63"/>
      <c r="T1941" s="63"/>
    </row>
    <row r="1942" spans="4:20" x14ac:dyDescent="0.35">
      <c r="D1942" s="63"/>
      <c r="S1942" s="63"/>
      <c r="T1942" s="63"/>
    </row>
    <row r="1943" spans="4:20" x14ac:dyDescent="0.35">
      <c r="D1943" s="63"/>
      <c r="S1943" s="63"/>
      <c r="T1943" s="63"/>
    </row>
    <row r="1944" spans="4:20" x14ac:dyDescent="0.35">
      <c r="D1944" s="63"/>
      <c r="S1944" s="63"/>
      <c r="T1944" s="63"/>
    </row>
    <row r="1945" spans="4:20" x14ac:dyDescent="0.35">
      <c r="D1945" s="63"/>
      <c r="S1945" s="63"/>
      <c r="T1945" s="63"/>
    </row>
    <row r="1946" spans="4:20" x14ac:dyDescent="0.35">
      <c r="D1946" s="63"/>
      <c r="S1946" s="63"/>
      <c r="T1946" s="63"/>
    </row>
    <row r="1947" spans="4:20" x14ac:dyDescent="0.35">
      <c r="D1947" s="63"/>
      <c r="S1947" s="63"/>
      <c r="T1947" s="63"/>
    </row>
    <row r="1948" spans="4:20" x14ac:dyDescent="0.35">
      <c r="D1948" s="63"/>
      <c r="S1948" s="63"/>
      <c r="T1948" s="63"/>
    </row>
    <row r="1949" spans="4:20" x14ac:dyDescent="0.35">
      <c r="D1949" s="63"/>
      <c r="S1949" s="63"/>
      <c r="T1949" s="63"/>
    </row>
    <row r="1950" spans="4:20" x14ac:dyDescent="0.35">
      <c r="D1950" s="63"/>
      <c r="S1950" s="63"/>
      <c r="T1950" s="63"/>
    </row>
    <row r="1951" spans="4:20" x14ac:dyDescent="0.35">
      <c r="D1951" s="63"/>
      <c r="S1951" s="63"/>
      <c r="T1951" s="63"/>
    </row>
    <row r="1952" spans="4:20" x14ac:dyDescent="0.35">
      <c r="D1952" s="63"/>
      <c r="S1952" s="63"/>
      <c r="T1952" s="63"/>
    </row>
    <row r="1953" spans="4:20" x14ac:dyDescent="0.35">
      <c r="D1953" s="63"/>
      <c r="S1953" s="63"/>
      <c r="T1953" s="63"/>
    </row>
    <row r="1954" spans="4:20" x14ac:dyDescent="0.35">
      <c r="D1954" s="63"/>
      <c r="S1954" s="63"/>
      <c r="T1954" s="63"/>
    </row>
    <row r="1955" spans="4:20" x14ac:dyDescent="0.35">
      <c r="D1955" s="63"/>
      <c r="S1955" s="63"/>
      <c r="T1955" s="63"/>
    </row>
    <row r="1956" spans="4:20" x14ac:dyDescent="0.35">
      <c r="D1956" s="63"/>
      <c r="S1956" s="63"/>
      <c r="T1956" s="63"/>
    </row>
    <row r="1957" spans="4:20" x14ac:dyDescent="0.35">
      <c r="D1957" s="63"/>
      <c r="S1957" s="63"/>
      <c r="T1957" s="63"/>
    </row>
    <row r="1958" spans="4:20" x14ac:dyDescent="0.35">
      <c r="D1958" s="63"/>
      <c r="S1958" s="63"/>
      <c r="T1958" s="63"/>
    </row>
    <row r="1959" spans="4:20" x14ac:dyDescent="0.35">
      <c r="D1959" s="63"/>
      <c r="S1959" s="63"/>
      <c r="T1959" s="63"/>
    </row>
    <row r="1960" spans="4:20" x14ac:dyDescent="0.35">
      <c r="D1960" s="63"/>
      <c r="S1960" s="63"/>
      <c r="T1960" s="63"/>
    </row>
    <row r="1961" spans="4:20" x14ac:dyDescent="0.35">
      <c r="D1961" s="63"/>
      <c r="S1961" s="63"/>
      <c r="T1961" s="63"/>
    </row>
    <row r="1962" spans="4:20" x14ac:dyDescent="0.35">
      <c r="D1962" s="63"/>
      <c r="S1962" s="63"/>
      <c r="T1962" s="63"/>
    </row>
    <row r="1963" spans="4:20" x14ac:dyDescent="0.35">
      <c r="D1963" s="63"/>
      <c r="S1963" s="63"/>
      <c r="T1963" s="63"/>
    </row>
    <row r="1964" spans="4:20" x14ac:dyDescent="0.35">
      <c r="D1964" s="63"/>
      <c r="S1964" s="63"/>
      <c r="T1964" s="63"/>
    </row>
    <row r="1965" spans="4:20" x14ac:dyDescent="0.35">
      <c r="D1965" s="63"/>
      <c r="S1965" s="63"/>
      <c r="T1965" s="63"/>
    </row>
    <row r="1966" spans="4:20" x14ac:dyDescent="0.35">
      <c r="D1966" s="63"/>
      <c r="S1966" s="63"/>
      <c r="T1966" s="63"/>
    </row>
    <row r="1967" spans="4:20" x14ac:dyDescent="0.35">
      <c r="D1967" s="63"/>
      <c r="S1967" s="63"/>
      <c r="T1967" s="63"/>
    </row>
    <row r="1968" spans="4:20" x14ac:dyDescent="0.35">
      <c r="D1968" s="63"/>
      <c r="S1968" s="63"/>
      <c r="T1968" s="63"/>
    </row>
    <row r="1969" spans="4:20" x14ac:dyDescent="0.35">
      <c r="D1969" s="63"/>
      <c r="S1969" s="63"/>
      <c r="T1969" s="63"/>
    </row>
    <row r="1970" spans="4:20" x14ac:dyDescent="0.35">
      <c r="D1970" s="63"/>
      <c r="S1970" s="63"/>
      <c r="T1970" s="63"/>
    </row>
    <row r="1971" spans="4:20" x14ac:dyDescent="0.35">
      <c r="D1971" s="63"/>
      <c r="S1971" s="63"/>
      <c r="T1971" s="63"/>
    </row>
    <row r="1972" spans="4:20" x14ac:dyDescent="0.35">
      <c r="D1972" s="63"/>
      <c r="S1972" s="63"/>
      <c r="T1972" s="63"/>
    </row>
    <row r="1973" spans="4:20" x14ac:dyDescent="0.35">
      <c r="D1973" s="63"/>
      <c r="S1973" s="63"/>
      <c r="T1973" s="63"/>
    </row>
    <row r="1974" spans="4:20" x14ac:dyDescent="0.35">
      <c r="D1974" s="63"/>
      <c r="S1974" s="63"/>
      <c r="T1974" s="63"/>
    </row>
    <row r="1975" spans="4:20" x14ac:dyDescent="0.35">
      <c r="D1975" s="63"/>
      <c r="S1975" s="63"/>
      <c r="T1975" s="63"/>
    </row>
    <row r="1976" spans="4:20" x14ac:dyDescent="0.35">
      <c r="D1976" s="63"/>
      <c r="S1976" s="63"/>
      <c r="T1976" s="63"/>
    </row>
    <row r="1977" spans="4:20" x14ac:dyDescent="0.35">
      <c r="D1977" s="63"/>
      <c r="S1977" s="63"/>
      <c r="T1977" s="63"/>
    </row>
    <row r="1978" spans="4:20" x14ac:dyDescent="0.35">
      <c r="D1978" s="63"/>
      <c r="S1978" s="63"/>
      <c r="T1978" s="63"/>
    </row>
    <row r="1979" spans="4:20" x14ac:dyDescent="0.35">
      <c r="D1979" s="63"/>
      <c r="S1979" s="63"/>
      <c r="T1979" s="63"/>
    </row>
    <row r="1980" spans="4:20" x14ac:dyDescent="0.35">
      <c r="D1980" s="63"/>
      <c r="S1980" s="63"/>
      <c r="T1980" s="63"/>
    </row>
    <row r="1981" spans="4:20" x14ac:dyDescent="0.35">
      <c r="D1981" s="63"/>
      <c r="S1981" s="63"/>
      <c r="T1981" s="63"/>
    </row>
    <row r="1982" spans="4:20" x14ac:dyDescent="0.35">
      <c r="D1982" s="63"/>
      <c r="S1982" s="63"/>
      <c r="T1982" s="63"/>
    </row>
    <row r="1983" spans="4:20" x14ac:dyDescent="0.35">
      <c r="D1983" s="63"/>
      <c r="S1983" s="63"/>
      <c r="T1983" s="63"/>
    </row>
    <row r="1984" spans="4:20" x14ac:dyDescent="0.35">
      <c r="D1984" s="63"/>
      <c r="S1984" s="63"/>
      <c r="T1984" s="63"/>
    </row>
    <row r="1985" spans="4:20" x14ac:dyDescent="0.35">
      <c r="D1985" s="63"/>
      <c r="S1985" s="63"/>
      <c r="T1985" s="63"/>
    </row>
    <row r="1986" spans="4:20" x14ac:dyDescent="0.35">
      <c r="D1986" s="63"/>
      <c r="S1986" s="63"/>
      <c r="T1986" s="63"/>
    </row>
    <row r="1987" spans="4:20" x14ac:dyDescent="0.35">
      <c r="D1987" s="63"/>
      <c r="S1987" s="63"/>
      <c r="T1987" s="63"/>
    </row>
    <row r="1988" spans="4:20" x14ac:dyDescent="0.35">
      <c r="D1988" s="63"/>
      <c r="S1988" s="63"/>
      <c r="T1988" s="63"/>
    </row>
    <row r="1989" spans="4:20" x14ac:dyDescent="0.35">
      <c r="D1989" s="63"/>
      <c r="S1989" s="63"/>
      <c r="T1989" s="63"/>
    </row>
    <row r="1990" spans="4:20" x14ac:dyDescent="0.35">
      <c r="D1990" s="63"/>
      <c r="S1990" s="63"/>
      <c r="T1990" s="63"/>
    </row>
    <row r="1991" spans="4:20" x14ac:dyDescent="0.35">
      <c r="D1991" s="63"/>
      <c r="S1991" s="63"/>
      <c r="T1991" s="63"/>
    </row>
    <row r="1992" spans="4:20" x14ac:dyDescent="0.35">
      <c r="D1992" s="63"/>
      <c r="S1992" s="63"/>
      <c r="T1992" s="63"/>
    </row>
    <row r="1993" spans="4:20" x14ac:dyDescent="0.35">
      <c r="D1993" s="63"/>
      <c r="S1993" s="63"/>
      <c r="T1993" s="63"/>
    </row>
    <row r="1994" spans="4:20" x14ac:dyDescent="0.35">
      <c r="D1994" s="63"/>
      <c r="S1994" s="63"/>
      <c r="T1994" s="63"/>
    </row>
    <row r="1995" spans="4:20" x14ac:dyDescent="0.35">
      <c r="D1995" s="63"/>
      <c r="S1995" s="63"/>
      <c r="T1995" s="63"/>
    </row>
    <row r="1996" spans="4:20" x14ac:dyDescent="0.35">
      <c r="D1996" s="63"/>
      <c r="S1996" s="63"/>
      <c r="T1996" s="63"/>
    </row>
    <row r="1997" spans="4:20" x14ac:dyDescent="0.35">
      <c r="D1997" s="63"/>
      <c r="S1997" s="63"/>
      <c r="T1997" s="63"/>
    </row>
    <row r="1998" spans="4:20" x14ac:dyDescent="0.35">
      <c r="D1998" s="63"/>
      <c r="S1998" s="63"/>
      <c r="T1998" s="63"/>
    </row>
    <row r="1999" spans="4:20" x14ac:dyDescent="0.35">
      <c r="D1999" s="63"/>
      <c r="S1999" s="63"/>
      <c r="T1999" s="63"/>
    </row>
    <row r="2000" spans="4:20" x14ac:dyDescent="0.35">
      <c r="D2000" s="63"/>
      <c r="S2000" s="63"/>
      <c r="T2000" s="63"/>
    </row>
    <row r="2001" spans="4:20" x14ac:dyDescent="0.35">
      <c r="D2001" s="63"/>
      <c r="S2001" s="63"/>
      <c r="T2001" s="63"/>
    </row>
    <row r="2002" spans="4:20" x14ac:dyDescent="0.35">
      <c r="D2002" s="63"/>
      <c r="S2002" s="63"/>
      <c r="T2002" s="63"/>
    </row>
    <row r="2003" spans="4:20" x14ac:dyDescent="0.35">
      <c r="D2003" s="63"/>
      <c r="S2003" s="63"/>
      <c r="T2003" s="63"/>
    </row>
    <row r="2004" spans="4:20" x14ac:dyDescent="0.35">
      <c r="D2004" s="63"/>
      <c r="S2004" s="63"/>
      <c r="T2004" s="63"/>
    </row>
    <row r="2005" spans="4:20" x14ac:dyDescent="0.35">
      <c r="D2005" s="63"/>
      <c r="S2005" s="63"/>
      <c r="T2005" s="63"/>
    </row>
    <row r="2006" spans="4:20" x14ac:dyDescent="0.35">
      <c r="D2006" s="63"/>
      <c r="S2006" s="63"/>
      <c r="T2006" s="63"/>
    </row>
    <row r="2007" spans="4:20" x14ac:dyDescent="0.35">
      <c r="D2007" s="63"/>
      <c r="S2007" s="63"/>
      <c r="T2007" s="63"/>
    </row>
    <row r="2008" spans="4:20" x14ac:dyDescent="0.35">
      <c r="D2008" s="63"/>
      <c r="S2008" s="63"/>
      <c r="T2008" s="63"/>
    </row>
    <row r="2009" spans="4:20" x14ac:dyDescent="0.35">
      <c r="D2009" s="63"/>
      <c r="S2009" s="63"/>
      <c r="T2009" s="63"/>
    </row>
    <row r="2010" spans="4:20" x14ac:dyDescent="0.35">
      <c r="D2010" s="63"/>
      <c r="S2010" s="63"/>
      <c r="T2010" s="63"/>
    </row>
    <row r="2011" spans="4:20" x14ac:dyDescent="0.35">
      <c r="D2011" s="63"/>
      <c r="S2011" s="63"/>
      <c r="T2011" s="63"/>
    </row>
    <row r="2012" spans="4:20" x14ac:dyDescent="0.35">
      <c r="D2012" s="63"/>
      <c r="S2012" s="63"/>
      <c r="T2012" s="63"/>
    </row>
    <row r="2013" spans="4:20" x14ac:dyDescent="0.35">
      <c r="D2013" s="63"/>
      <c r="S2013" s="63"/>
      <c r="T2013" s="63"/>
    </row>
    <row r="2014" spans="4:20" x14ac:dyDescent="0.35">
      <c r="D2014" s="63"/>
      <c r="S2014" s="63"/>
      <c r="T2014" s="63"/>
    </row>
    <row r="2015" spans="4:20" x14ac:dyDescent="0.35">
      <c r="D2015" s="63"/>
      <c r="S2015" s="63"/>
      <c r="T2015" s="63"/>
    </row>
    <row r="2016" spans="4:20" x14ac:dyDescent="0.35">
      <c r="D2016" s="63"/>
      <c r="S2016" s="63"/>
      <c r="T2016" s="63"/>
    </row>
    <row r="2017" spans="4:20" x14ac:dyDescent="0.35">
      <c r="D2017" s="63"/>
      <c r="S2017" s="63"/>
      <c r="T2017" s="63"/>
    </row>
    <row r="2018" spans="4:20" x14ac:dyDescent="0.35">
      <c r="D2018" s="63"/>
      <c r="S2018" s="63"/>
      <c r="T2018" s="63"/>
    </row>
    <row r="2019" spans="4:20" x14ac:dyDescent="0.35">
      <c r="D2019" s="63"/>
      <c r="S2019" s="63"/>
      <c r="T2019" s="63"/>
    </row>
    <row r="2020" spans="4:20" x14ac:dyDescent="0.35">
      <c r="D2020" s="63"/>
      <c r="S2020" s="63"/>
      <c r="T2020" s="63"/>
    </row>
    <row r="2021" spans="4:20" x14ac:dyDescent="0.35">
      <c r="D2021" s="63"/>
      <c r="S2021" s="63"/>
      <c r="T2021" s="63"/>
    </row>
    <row r="2022" spans="4:20" x14ac:dyDescent="0.35">
      <c r="D2022" s="63"/>
      <c r="S2022" s="63"/>
      <c r="T2022" s="63"/>
    </row>
    <row r="2023" spans="4:20" x14ac:dyDescent="0.35">
      <c r="D2023" s="63"/>
      <c r="S2023" s="63"/>
      <c r="T2023" s="63"/>
    </row>
    <row r="2024" spans="4:20" x14ac:dyDescent="0.35">
      <c r="D2024" s="63"/>
      <c r="S2024" s="63"/>
      <c r="T2024" s="63"/>
    </row>
    <row r="2025" spans="4:20" x14ac:dyDescent="0.35">
      <c r="D2025" s="63"/>
      <c r="S2025" s="63"/>
      <c r="T2025" s="63"/>
    </row>
    <row r="2026" spans="4:20" x14ac:dyDescent="0.35">
      <c r="D2026" s="63"/>
      <c r="S2026" s="63"/>
      <c r="T2026" s="63"/>
    </row>
    <row r="2027" spans="4:20" x14ac:dyDescent="0.35">
      <c r="D2027" s="63"/>
      <c r="S2027" s="63"/>
      <c r="T2027" s="63"/>
    </row>
    <row r="2028" spans="4:20" x14ac:dyDescent="0.35">
      <c r="D2028" s="63"/>
      <c r="S2028" s="63"/>
      <c r="T2028" s="63"/>
    </row>
    <row r="2029" spans="4:20" x14ac:dyDescent="0.35">
      <c r="D2029" s="63"/>
      <c r="S2029" s="63"/>
      <c r="T2029" s="63"/>
    </row>
    <row r="2030" spans="4:20" x14ac:dyDescent="0.35">
      <c r="D2030" s="63"/>
      <c r="S2030" s="63"/>
      <c r="T2030" s="63"/>
    </row>
    <row r="2031" spans="4:20" x14ac:dyDescent="0.35">
      <c r="D2031" s="63"/>
      <c r="S2031" s="63"/>
      <c r="T2031" s="63"/>
    </row>
    <row r="2032" spans="4:20" x14ac:dyDescent="0.35">
      <c r="D2032" s="63"/>
      <c r="S2032" s="63"/>
      <c r="T2032" s="63"/>
    </row>
    <row r="2033" spans="4:20" x14ac:dyDescent="0.35">
      <c r="D2033" s="63"/>
      <c r="S2033" s="63"/>
      <c r="T2033" s="63"/>
    </row>
    <row r="2034" spans="4:20" x14ac:dyDescent="0.35">
      <c r="D2034" s="63"/>
      <c r="S2034" s="63"/>
      <c r="T2034" s="63"/>
    </row>
    <row r="2035" spans="4:20" x14ac:dyDescent="0.35">
      <c r="D2035" s="63"/>
      <c r="S2035" s="63"/>
      <c r="T2035" s="63"/>
    </row>
    <row r="2036" spans="4:20" x14ac:dyDescent="0.35">
      <c r="D2036" s="63"/>
      <c r="S2036" s="63"/>
      <c r="T2036" s="63"/>
    </row>
    <row r="2037" spans="4:20" x14ac:dyDescent="0.35">
      <c r="D2037" s="63"/>
      <c r="S2037" s="63"/>
      <c r="T2037" s="63"/>
    </row>
    <row r="2038" spans="4:20" x14ac:dyDescent="0.35">
      <c r="D2038" s="63"/>
      <c r="S2038" s="63"/>
      <c r="T2038" s="63"/>
    </row>
    <row r="2039" spans="4:20" x14ac:dyDescent="0.35">
      <c r="D2039" s="63"/>
      <c r="S2039" s="63"/>
      <c r="T2039" s="63"/>
    </row>
    <row r="2040" spans="4:20" x14ac:dyDescent="0.35">
      <c r="D2040" s="63"/>
      <c r="S2040" s="63"/>
      <c r="T2040" s="63"/>
    </row>
    <row r="2041" spans="4:20" x14ac:dyDescent="0.35">
      <c r="D2041" s="63"/>
      <c r="S2041" s="63"/>
      <c r="T2041" s="63"/>
    </row>
    <row r="2042" spans="4:20" x14ac:dyDescent="0.35">
      <c r="D2042" s="63"/>
      <c r="S2042" s="63"/>
      <c r="T2042" s="63"/>
    </row>
    <row r="2043" spans="4:20" x14ac:dyDescent="0.35">
      <c r="D2043" s="63"/>
      <c r="S2043" s="63"/>
      <c r="T2043" s="63"/>
    </row>
    <row r="2044" spans="4:20" x14ac:dyDescent="0.35">
      <c r="D2044" s="63"/>
      <c r="S2044" s="63"/>
      <c r="T2044" s="63"/>
    </row>
    <row r="2045" spans="4:20" x14ac:dyDescent="0.35">
      <c r="D2045" s="63"/>
      <c r="S2045" s="63"/>
      <c r="T2045" s="63"/>
    </row>
    <row r="2046" spans="4:20" x14ac:dyDescent="0.35">
      <c r="D2046" s="63"/>
      <c r="S2046" s="63"/>
      <c r="T2046" s="63"/>
    </row>
    <row r="2047" spans="4:20" x14ac:dyDescent="0.35">
      <c r="D2047" s="63"/>
      <c r="S2047" s="63"/>
      <c r="T2047" s="63"/>
    </row>
    <row r="2048" spans="4:20" x14ac:dyDescent="0.35">
      <c r="D2048" s="63"/>
      <c r="S2048" s="63"/>
      <c r="T2048" s="63"/>
    </row>
    <row r="2049" spans="4:20" x14ac:dyDescent="0.35">
      <c r="D2049" s="63"/>
      <c r="S2049" s="63"/>
      <c r="T2049" s="63"/>
    </row>
    <row r="2050" spans="4:20" x14ac:dyDescent="0.35">
      <c r="D2050" s="63"/>
      <c r="S2050" s="63"/>
      <c r="T2050" s="63"/>
    </row>
    <row r="2051" spans="4:20" x14ac:dyDescent="0.35">
      <c r="D2051" s="63"/>
      <c r="S2051" s="63"/>
      <c r="T2051" s="63"/>
    </row>
    <row r="2052" spans="4:20" x14ac:dyDescent="0.35">
      <c r="D2052" s="63"/>
      <c r="S2052" s="63"/>
      <c r="T2052" s="63"/>
    </row>
    <row r="2053" spans="4:20" x14ac:dyDescent="0.35">
      <c r="D2053" s="63"/>
      <c r="S2053" s="63"/>
      <c r="T2053" s="63"/>
    </row>
    <row r="2054" spans="4:20" x14ac:dyDescent="0.35">
      <c r="D2054" s="63"/>
      <c r="S2054" s="63"/>
      <c r="T2054" s="63"/>
    </row>
    <row r="2055" spans="4:20" x14ac:dyDescent="0.35">
      <c r="D2055" s="63"/>
      <c r="S2055" s="63"/>
      <c r="T2055" s="63"/>
    </row>
    <row r="2056" spans="4:20" x14ac:dyDescent="0.35">
      <c r="D2056" s="63"/>
      <c r="S2056" s="63"/>
      <c r="T2056" s="63"/>
    </row>
    <row r="2057" spans="4:20" x14ac:dyDescent="0.35">
      <c r="D2057" s="63"/>
      <c r="S2057" s="63"/>
      <c r="T2057" s="63"/>
    </row>
    <row r="2058" spans="4:20" x14ac:dyDescent="0.35">
      <c r="D2058" s="63"/>
      <c r="S2058" s="63"/>
      <c r="T2058" s="63"/>
    </row>
    <row r="2059" spans="4:20" x14ac:dyDescent="0.35">
      <c r="D2059" s="63"/>
      <c r="S2059" s="63"/>
      <c r="T2059" s="63"/>
    </row>
    <row r="2060" spans="4:20" x14ac:dyDescent="0.35">
      <c r="D2060" s="63"/>
      <c r="S2060" s="63"/>
      <c r="T2060" s="63"/>
    </row>
    <row r="2061" spans="4:20" x14ac:dyDescent="0.35">
      <c r="D2061" s="63"/>
      <c r="S2061" s="63"/>
      <c r="T2061" s="63"/>
    </row>
    <row r="2062" spans="4:20" x14ac:dyDescent="0.35">
      <c r="D2062" s="63"/>
      <c r="S2062" s="63"/>
      <c r="T2062" s="63"/>
    </row>
    <row r="2063" spans="4:20" x14ac:dyDescent="0.35">
      <c r="D2063" s="63"/>
      <c r="S2063" s="63"/>
      <c r="T2063" s="63"/>
    </row>
    <row r="2064" spans="4:20" x14ac:dyDescent="0.35">
      <c r="D2064" s="63"/>
      <c r="S2064" s="63"/>
      <c r="T2064" s="63"/>
    </row>
    <row r="2065" spans="4:20" x14ac:dyDescent="0.35">
      <c r="D2065" s="63"/>
      <c r="S2065" s="63"/>
      <c r="T2065" s="63"/>
    </row>
    <row r="2066" spans="4:20" x14ac:dyDescent="0.35">
      <c r="D2066" s="63"/>
      <c r="S2066" s="63"/>
      <c r="T2066" s="63"/>
    </row>
    <row r="2067" spans="4:20" x14ac:dyDescent="0.35">
      <c r="D2067" s="63"/>
      <c r="S2067" s="63"/>
      <c r="T2067" s="63"/>
    </row>
    <row r="2068" spans="4:20" x14ac:dyDescent="0.35">
      <c r="D2068" s="63"/>
      <c r="S2068" s="63"/>
      <c r="T2068" s="63"/>
    </row>
    <row r="2069" spans="4:20" x14ac:dyDescent="0.35">
      <c r="D2069" s="63"/>
      <c r="S2069" s="63"/>
      <c r="T2069" s="63"/>
    </row>
    <row r="2070" spans="4:20" x14ac:dyDescent="0.35">
      <c r="D2070" s="63"/>
      <c r="S2070" s="63"/>
      <c r="T2070" s="63"/>
    </row>
    <row r="2071" spans="4:20" x14ac:dyDescent="0.35">
      <c r="D2071" s="63"/>
      <c r="S2071" s="63"/>
      <c r="T2071" s="63"/>
    </row>
    <row r="2072" spans="4:20" x14ac:dyDescent="0.35">
      <c r="D2072" s="63"/>
      <c r="S2072" s="63"/>
      <c r="T2072" s="63"/>
    </row>
    <row r="2073" spans="4:20" x14ac:dyDescent="0.35">
      <c r="D2073" s="63"/>
      <c r="S2073" s="63"/>
      <c r="T2073" s="63"/>
    </row>
    <row r="2074" spans="4:20" x14ac:dyDescent="0.35">
      <c r="D2074" s="63"/>
      <c r="S2074" s="63"/>
      <c r="T2074" s="63"/>
    </row>
    <row r="2075" spans="4:20" x14ac:dyDescent="0.35">
      <c r="D2075" s="63"/>
      <c r="S2075" s="63"/>
      <c r="T2075" s="63"/>
    </row>
    <row r="2076" spans="4:20" x14ac:dyDescent="0.35">
      <c r="D2076" s="63"/>
      <c r="S2076" s="63"/>
      <c r="T2076" s="63"/>
    </row>
    <row r="2077" spans="4:20" x14ac:dyDescent="0.35">
      <c r="D2077" s="63"/>
      <c r="S2077" s="63"/>
      <c r="T2077" s="63"/>
    </row>
    <row r="2078" spans="4:20" x14ac:dyDescent="0.35">
      <c r="D2078" s="63"/>
      <c r="S2078" s="63"/>
      <c r="T2078" s="63"/>
    </row>
    <row r="2079" spans="4:20" x14ac:dyDescent="0.35">
      <c r="D2079" s="63"/>
      <c r="S2079" s="63"/>
      <c r="T2079" s="63"/>
    </row>
    <row r="2080" spans="4:20" x14ac:dyDescent="0.35">
      <c r="D2080" s="63"/>
      <c r="S2080" s="63"/>
      <c r="T2080" s="63"/>
    </row>
    <row r="2081" spans="4:20" x14ac:dyDescent="0.35">
      <c r="D2081" s="63"/>
      <c r="S2081" s="63"/>
      <c r="T2081" s="63"/>
    </row>
    <row r="2082" spans="4:20" x14ac:dyDescent="0.35">
      <c r="D2082" s="63"/>
      <c r="S2082" s="63"/>
      <c r="T2082" s="63"/>
    </row>
    <row r="2083" spans="4:20" x14ac:dyDescent="0.35">
      <c r="D2083" s="63"/>
      <c r="S2083" s="63"/>
      <c r="T2083" s="63"/>
    </row>
    <row r="2084" spans="4:20" x14ac:dyDescent="0.35">
      <c r="D2084" s="63"/>
      <c r="S2084" s="63"/>
      <c r="T2084" s="63"/>
    </row>
    <row r="2085" spans="4:20" x14ac:dyDescent="0.35">
      <c r="D2085" s="63"/>
      <c r="S2085" s="63"/>
      <c r="T2085" s="63"/>
    </row>
    <row r="2086" spans="4:20" x14ac:dyDescent="0.35">
      <c r="D2086" s="63"/>
      <c r="S2086" s="63"/>
      <c r="T2086" s="63"/>
    </row>
    <row r="2087" spans="4:20" x14ac:dyDescent="0.35">
      <c r="D2087" s="63"/>
      <c r="S2087" s="63"/>
      <c r="T2087" s="63"/>
    </row>
    <row r="2088" spans="4:20" x14ac:dyDescent="0.35">
      <c r="D2088" s="63"/>
      <c r="S2088" s="63"/>
      <c r="T2088" s="63"/>
    </row>
    <row r="2089" spans="4:20" x14ac:dyDescent="0.35">
      <c r="D2089" s="63"/>
      <c r="S2089" s="63"/>
      <c r="T2089" s="63"/>
    </row>
    <row r="2090" spans="4:20" x14ac:dyDescent="0.35">
      <c r="D2090" s="63"/>
      <c r="S2090" s="63"/>
      <c r="T2090" s="63"/>
    </row>
    <row r="2091" spans="4:20" x14ac:dyDescent="0.35">
      <c r="D2091" s="63"/>
      <c r="S2091" s="63"/>
      <c r="T2091" s="63"/>
    </row>
    <row r="2092" spans="4:20" x14ac:dyDescent="0.35">
      <c r="D2092" s="63"/>
      <c r="S2092" s="63"/>
      <c r="T2092" s="63"/>
    </row>
    <row r="2093" spans="4:20" x14ac:dyDescent="0.35">
      <c r="D2093" s="63"/>
      <c r="S2093" s="63"/>
      <c r="T2093" s="63"/>
    </row>
    <row r="2094" spans="4:20" x14ac:dyDescent="0.35">
      <c r="D2094" s="63"/>
      <c r="S2094" s="63"/>
      <c r="T2094" s="63"/>
    </row>
    <row r="2095" spans="4:20" x14ac:dyDescent="0.35">
      <c r="D2095" s="63"/>
      <c r="S2095" s="63"/>
      <c r="T2095" s="63"/>
    </row>
    <row r="2096" spans="4:20" x14ac:dyDescent="0.35">
      <c r="D2096" s="63"/>
      <c r="S2096" s="63"/>
      <c r="T2096" s="63"/>
    </row>
    <row r="2097" spans="4:20" x14ac:dyDescent="0.35">
      <c r="D2097" s="63"/>
      <c r="S2097" s="63"/>
      <c r="T2097" s="63"/>
    </row>
    <row r="2098" spans="4:20" x14ac:dyDescent="0.35">
      <c r="D2098" s="63"/>
      <c r="S2098" s="63"/>
      <c r="T2098" s="63"/>
    </row>
    <row r="2099" spans="4:20" x14ac:dyDescent="0.35">
      <c r="D2099" s="63"/>
      <c r="S2099" s="63"/>
      <c r="T2099" s="63"/>
    </row>
    <row r="2100" spans="4:20" x14ac:dyDescent="0.35">
      <c r="D2100" s="63"/>
      <c r="S2100" s="63"/>
      <c r="T2100" s="63"/>
    </row>
    <row r="2101" spans="4:20" x14ac:dyDescent="0.35">
      <c r="D2101" s="63"/>
      <c r="S2101" s="63"/>
      <c r="T2101" s="63"/>
    </row>
    <row r="2102" spans="4:20" x14ac:dyDescent="0.35">
      <c r="D2102" s="63"/>
      <c r="S2102" s="63"/>
      <c r="T2102" s="63"/>
    </row>
    <row r="2103" spans="4:20" x14ac:dyDescent="0.35">
      <c r="D2103" s="63"/>
      <c r="S2103" s="63"/>
      <c r="T2103" s="63"/>
    </row>
    <row r="2104" spans="4:20" x14ac:dyDescent="0.35">
      <c r="D2104" s="63"/>
      <c r="S2104" s="63"/>
      <c r="T2104" s="63"/>
    </row>
    <row r="2105" spans="4:20" x14ac:dyDescent="0.35">
      <c r="D2105" s="63"/>
      <c r="S2105" s="63"/>
      <c r="T2105" s="63"/>
    </row>
    <row r="2106" spans="4:20" x14ac:dyDescent="0.35">
      <c r="D2106" s="63"/>
      <c r="S2106" s="63"/>
      <c r="T2106" s="63"/>
    </row>
    <row r="2107" spans="4:20" x14ac:dyDescent="0.35">
      <c r="D2107" s="63"/>
      <c r="S2107" s="63"/>
      <c r="T2107" s="63"/>
    </row>
    <row r="2108" spans="4:20" x14ac:dyDescent="0.35">
      <c r="D2108" s="63"/>
      <c r="S2108" s="63"/>
      <c r="T2108" s="63"/>
    </row>
    <row r="2109" spans="4:20" x14ac:dyDescent="0.35">
      <c r="D2109" s="63"/>
      <c r="S2109" s="63"/>
      <c r="T2109" s="63"/>
    </row>
    <row r="2110" spans="4:20" x14ac:dyDescent="0.35">
      <c r="D2110" s="63"/>
      <c r="S2110" s="63"/>
      <c r="T2110" s="63"/>
    </row>
    <row r="2111" spans="4:20" x14ac:dyDescent="0.35">
      <c r="D2111" s="63"/>
      <c r="S2111" s="63"/>
      <c r="T2111" s="63"/>
    </row>
    <row r="2112" spans="4:20" x14ac:dyDescent="0.35">
      <c r="D2112" s="63"/>
      <c r="S2112" s="63"/>
      <c r="T2112" s="63"/>
    </row>
    <row r="2113" spans="4:20" x14ac:dyDescent="0.35">
      <c r="D2113" s="63"/>
      <c r="S2113" s="63"/>
      <c r="T2113" s="63"/>
    </row>
    <row r="2114" spans="4:20" x14ac:dyDescent="0.35">
      <c r="D2114" s="63"/>
      <c r="S2114" s="63"/>
      <c r="T2114" s="63"/>
    </row>
    <row r="2115" spans="4:20" x14ac:dyDescent="0.35">
      <c r="D2115" s="63"/>
      <c r="S2115" s="63"/>
      <c r="T2115" s="63"/>
    </row>
    <row r="2116" spans="4:20" x14ac:dyDescent="0.35">
      <c r="D2116" s="63"/>
      <c r="S2116" s="63"/>
      <c r="T2116" s="63"/>
    </row>
    <row r="2117" spans="4:20" x14ac:dyDescent="0.35">
      <c r="D2117" s="63"/>
      <c r="S2117" s="63"/>
      <c r="T2117" s="63"/>
    </row>
    <row r="2118" spans="4:20" x14ac:dyDescent="0.35">
      <c r="D2118" s="63"/>
      <c r="S2118" s="63"/>
      <c r="T2118" s="63"/>
    </row>
    <row r="2119" spans="4:20" x14ac:dyDescent="0.35">
      <c r="D2119" s="63"/>
      <c r="S2119" s="63"/>
      <c r="T2119" s="63"/>
    </row>
    <row r="2120" spans="4:20" x14ac:dyDescent="0.35">
      <c r="D2120" s="63"/>
      <c r="S2120" s="63"/>
      <c r="T2120" s="63"/>
    </row>
    <row r="2121" spans="4:20" x14ac:dyDescent="0.35">
      <c r="D2121" s="63"/>
      <c r="S2121" s="63"/>
      <c r="T2121" s="63"/>
    </row>
    <row r="2122" spans="4:20" x14ac:dyDescent="0.35">
      <c r="D2122" s="63"/>
      <c r="S2122" s="63"/>
      <c r="T2122" s="63"/>
    </row>
    <row r="2123" spans="4:20" x14ac:dyDescent="0.35">
      <c r="D2123" s="63"/>
      <c r="S2123" s="63"/>
      <c r="T2123" s="63"/>
    </row>
    <row r="2124" spans="4:20" x14ac:dyDescent="0.35">
      <c r="D2124" s="63"/>
      <c r="S2124" s="63"/>
      <c r="T2124" s="63"/>
    </row>
    <row r="2125" spans="4:20" x14ac:dyDescent="0.35">
      <c r="D2125" s="63"/>
      <c r="S2125" s="63"/>
      <c r="T2125" s="63"/>
    </row>
    <row r="2126" spans="4:20" x14ac:dyDescent="0.35">
      <c r="D2126" s="63"/>
      <c r="S2126" s="63"/>
      <c r="T2126" s="63"/>
    </row>
    <row r="2127" spans="4:20" x14ac:dyDescent="0.35">
      <c r="D2127" s="63"/>
      <c r="S2127" s="63"/>
      <c r="T2127" s="63"/>
    </row>
    <row r="2128" spans="4:20" x14ac:dyDescent="0.35">
      <c r="D2128" s="63"/>
      <c r="S2128" s="63"/>
      <c r="T2128" s="63"/>
    </row>
    <row r="2129" spans="4:20" x14ac:dyDescent="0.35">
      <c r="D2129" s="63"/>
      <c r="S2129" s="63"/>
      <c r="T2129" s="63"/>
    </row>
    <row r="2130" spans="4:20" x14ac:dyDescent="0.35">
      <c r="D2130" s="63"/>
      <c r="S2130" s="63"/>
      <c r="T2130" s="63"/>
    </row>
    <row r="2131" spans="4:20" x14ac:dyDescent="0.35">
      <c r="D2131" s="63"/>
      <c r="S2131" s="63"/>
      <c r="T2131" s="63"/>
    </row>
    <row r="2132" spans="4:20" x14ac:dyDescent="0.35">
      <c r="D2132" s="63"/>
      <c r="S2132" s="63"/>
      <c r="T2132" s="63"/>
    </row>
    <row r="2133" spans="4:20" x14ac:dyDescent="0.35">
      <c r="D2133" s="63"/>
      <c r="S2133" s="63"/>
      <c r="T2133" s="63"/>
    </row>
    <row r="2134" spans="4:20" x14ac:dyDescent="0.35">
      <c r="D2134" s="63"/>
      <c r="S2134" s="63"/>
      <c r="T2134" s="63"/>
    </row>
    <row r="2135" spans="4:20" x14ac:dyDescent="0.35">
      <c r="D2135" s="63"/>
      <c r="S2135" s="63"/>
      <c r="T2135" s="63"/>
    </row>
    <row r="2136" spans="4:20" x14ac:dyDescent="0.35">
      <c r="D2136" s="63"/>
      <c r="S2136" s="63"/>
      <c r="T2136" s="63"/>
    </row>
    <row r="2137" spans="4:20" x14ac:dyDescent="0.35">
      <c r="D2137" s="63"/>
      <c r="S2137" s="63"/>
      <c r="T2137" s="63"/>
    </row>
    <row r="2138" spans="4:20" x14ac:dyDescent="0.35">
      <c r="D2138" s="63"/>
      <c r="S2138" s="63"/>
      <c r="T2138" s="63"/>
    </row>
    <row r="2139" spans="4:20" x14ac:dyDescent="0.35">
      <c r="D2139" s="63"/>
      <c r="S2139" s="63"/>
      <c r="T2139" s="63"/>
    </row>
    <row r="2140" spans="4:20" x14ac:dyDescent="0.35">
      <c r="D2140" s="63"/>
      <c r="S2140" s="63"/>
      <c r="T2140" s="63"/>
    </row>
    <row r="2141" spans="4:20" x14ac:dyDescent="0.35">
      <c r="D2141" s="63"/>
      <c r="S2141" s="63"/>
      <c r="T2141" s="63"/>
    </row>
    <row r="2142" spans="4:20" x14ac:dyDescent="0.35">
      <c r="D2142" s="63"/>
      <c r="S2142" s="63"/>
      <c r="T2142" s="63"/>
    </row>
    <row r="2143" spans="4:20" x14ac:dyDescent="0.35">
      <c r="D2143" s="63"/>
      <c r="S2143" s="63"/>
      <c r="T2143" s="63"/>
    </row>
    <row r="2144" spans="4:20" x14ac:dyDescent="0.35">
      <c r="D2144" s="63"/>
      <c r="S2144" s="63"/>
      <c r="T2144" s="63"/>
    </row>
    <row r="2145" spans="4:20" x14ac:dyDescent="0.35">
      <c r="D2145" s="63"/>
      <c r="S2145" s="63"/>
      <c r="T2145" s="63"/>
    </row>
    <row r="2146" spans="4:20" x14ac:dyDescent="0.35">
      <c r="D2146" s="63"/>
      <c r="S2146" s="63"/>
      <c r="T2146" s="63"/>
    </row>
    <row r="2147" spans="4:20" x14ac:dyDescent="0.35">
      <c r="D2147" s="63"/>
      <c r="S2147" s="63"/>
      <c r="T2147" s="63"/>
    </row>
    <row r="2148" spans="4:20" x14ac:dyDescent="0.35">
      <c r="D2148" s="63"/>
      <c r="S2148" s="63"/>
      <c r="T2148" s="63"/>
    </row>
    <row r="2149" spans="4:20" x14ac:dyDescent="0.35">
      <c r="D2149" s="63"/>
      <c r="S2149" s="63"/>
      <c r="T2149" s="63"/>
    </row>
    <row r="2150" spans="4:20" x14ac:dyDescent="0.35">
      <c r="D2150" s="63"/>
      <c r="S2150" s="63"/>
      <c r="T2150" s="63"/>
    </row>
    <row r="2151" spans="4:20" x14ac:dyDescent="0.35">
      <c r="D2151" s="63"/>
      <c r="S2151" s="63"/>
      <c r="T2151" s="63"/>
    </row>
    <row r="2152" spans="4:20" x14ac:dyDescent="0.35">
      <c r="D2152" s="63"/>
      <c r="S2152" s="63"/>
      <c r="T2152" s="63"/>
    </row>
    <row r="2153" spans="4:20" x14ac:dyDescent="0.35">
      <c r="D2153" s="63"/>
      <c r="S2153" s="63"/>
      <c r="T2153" s="63"/>
    </row>
    <row r="2154" spans="4:20" x14ac:dyDescent="0.35">
      <c r="D2154" s="63"/>
      <c r="S2154" s="63"/>
      <c r="T2154" s="63"/>
    </row>
    <row r="2155" spans="4:20" x14ac:dyDescent="0.35">
      <c r="D2155" s="63"/>
      <c r="S2155" s="63"/>
      <c r="T2155" s="63"/>
    </row>
    <row r="2156" spans="4:20" x14ac:dyDescent="0.35">
      <c r="D2156" s="63"/>
      <c r="S2156" s="63"/>
      <c r="T2156" s="63"/>
    </row>
    <row r="2157" spans="4:20" x14ac:dyDescent="0.35">
      <c r="D2157" s="63"/>
      <c r="S2157" s="63"/>
      <c r="T2157" s="63"/>
    </row>
    <row r="2158" spans="4:20" x14ac:dyDescent="0.35">
      <c r="D2158" s="63"/>
      <c r="S2158" s="63"/>
      <c r="T2158" s="63"/>
    </row>
    <row r="2159" spans="4:20" x14ac:dyDescent="0.35">
      <c r="D2159" s="63"/>
      <c r="S2159" s="63"/>
      <c r="T2159" s="63"/>
    </row>
    <row r="2160" spans="4:20" x14ac:dyDescent="0.35">
      <c r="D2160" s="63"/>
      <c r="S2160" s="63"/>
      <c r="T2160" s="63"/>
    </row>
    <row r="2161" spans="4:20" x14ac:dyDescent="0.35">
      <c r="D2161" s="63"/>
      <c r="S2161" s="63"/>
      <c r="T2161" s="63"/>
    </row>
    <row r="2162" spans="4:20" x14ac:dyDescent="0.35">
      <c r="D2162" s="63"/>
      <c r="S2162" s="63"/>
      <c r="T2162" s="63"/>
    </row>
    <row r="2163" spans="4:20" x14ac:dyDescent="0.35">
      <c r="D2163" s="63"/>
      <c r="S2163" s="63"/>
      <c r="T2163" s="63"/>
    </row>
    <row r="2164" spans="4:20" x14ac:dyDescent="0.35">
      <c r="D2164" s="63"/>
      <c r="S2164" s="63"/>
      <c r="T2164" s="63"/>
    </row>
    <row r="2165" spans="4:20" x14ac:dyDescent="0.35">
      <c r="D2165" s="63"/>
      <c r="S2165" s="63"/>
      <c r="T2165" s="63"/>
    </row>
    <row r="2166" spans="4:20" x14ac:dyDescent="0.35">
      <c r="D2166" s="63"/>
      <c r="S2166" s="63"/>
      <c r="T2166" s="63"/>
    </row>
    <row r="2167" spans="4:20" x14ac:dyDescent="0.35">
      <c r="D2167" s="63"/>
      <c r="S2167" s="63"/>
      <c r="T2167" s="63"/>
    </row>
    <row r="2168" spans="4:20" x14ac:dyDescent="0.35">
      <c r="D2168" s="63"/>
      <c r="S2168" s="63"/>
      <c r="T2168" s="63"/>
    </row>
    <row r="2169" spans="4:20" x14ac:dyDescent="0.35">
      <c r="D2169" s="63"/>
      <c r="S2169" s="63"/>
      <c r="T2169" s="63"/>
    </row>
    <row r="2170" spans="4:20" x14ac:dyDescent="0.35">
      <c r="D2170" s="63"/>
      <c r="S2170" s="63"/>
      <c r="T2170" s="63"/>
    </row>
    <row r="2171" spans="4:20" x14ac:dyDescent="0.35">
      <c r="D2171" s="63"/>
      <c r="S2171" s="63"/>
      <c r="T2171" s="63"/>
    </row>
    <row r="2172" spans="4:20" x14ac:dyDescent="0.35">
      <c r="D2172" s="63"/>
      <c r="S2172" s="63"/>
      <c r="T2172" s="63"/>
    </row>
    <row r="2173" spans="4:20" x14ac:dyDescent="0.35">
      <c r="D2173" s="63"/>
      <c r="S2173" s="63"/>
      <c r="T2173" s="63"/>
    </row>
    <row r="2174" spans="4:20" x14ac:dyDescent="0.35">
      <c r="D2174" s="63"/>
      <c r="S2174" s="63"/>
      <c r="T2174" s="63"/>
    </row>
    <row r="2175" spans="4:20" x14ac:dyDescent="0.35">
      <c r="D2175" s="63"/>
      <c r="S2175" s="63"/>
      <c r="T2175" s="63"/>
    </row>
    <row r="2176" spans="4:20" x14ac:dyDescent="0.35">
      <c r="D2176" s="63"/>
      <c r="S2176" s="63"/>
      <c r="T2176" s="63"/>
    </row>
    <row r="2177" spans="4:20" x14ac:dyDescent="0.35">
      <c r="D2177" s="63"/>
      <c r="S2177" s="63"/>
      <c r="T2177" s="63"/>
    </row>
    <row r="2178" spans="4:20" x14ac:dyDescent="0.35">
      <c r="D2178" s="63"/>
      <c r="S2178" s="63"/>
      <c r="T2178" s="63"/>
    </row>
    <row r="2179" spans="4:20" x14ac:dyDescent="0.35">
      <c r="D2179" s="63"/>
      <c r="S2179" s="63"/>
      <c r="T2179" s="63"/>
    </row>
    <row r="2180" spans="4:20" x14ac:dyDescent="0.35">
      <c r="D2180" s="63"/>
      <c r="S2180" s="63"/>
      <c r="T2180" s="63"/>
    </row>
    <row r="2181" spans="4:20" x14ac:dyDescent="0.35">
      <c r="D2181" s="63"/>
      <c r="S2181" s="63"/>
      <c r="T2181" s="63"/>
    </row>
    <row r="2182" spans="4:20" x14ac:dyDescent="0.35">
      <c r="D2182" s="63"/>
      <c r="S2182" s="63"/>
      <c r="T2182" s="63"/>
    </row>
    <row r="2183" spans="4:20" x14ac:dyDescent="0.35">
      <c r="D2183" s="63"/>
      <c r="S2183" s="63"/>
      <c r="T2183" s="63"/>
    </row>
    <row r="2184" spans="4:20" x14ac:dyDescent="0.35">
      <c r="D2184" s="63"/>
      <c r="S2184" s="63"/>
      <c r="T2184" s="63"/>
    </row>
    <row r="2185" spans="4:20" x14ac:dyDescent="0.35">
      <c r="D2185" s="63"/>
      <c r="S2185" s="63"/>
      <c r="T2185" s="63"/>
    </row>
    <row r="2186" spans="4:20" x14ac:dyDescent="0.35">
      <c r="D2186" s="63"/>
      <c r="S2186" s="63"/>
      <c r="T2186" s="63"/>
    </row>
    <row r="2187" spans="4:20" x14ac:dyDescent="0.35">
      <c r="D2187" s="63"/>
      <c r="S2187" s="63"/>
      <c r="T2187" s="63"/>
    </row>
    <row r="2188" spans="4:20" x14ac:dyDescent="0.35">
      <c r="D2188" s="63"/>
      <c r="S2188" s="63"/>
      <c r="T2188" s="63"/>
    </row>
    <row r="2189" spans="4:20" x14ac:dyDescent="0.35">
      <c r="D2189" s="63"/>
      <c r="S2189" s="63"/>
      <c r="T2189" s="63"/>
    </row>
    <row r="2190" spans="4:20" x14ac:dyDescent="0.35">
      <c r="D2190" s="63"/>
      <c r="S2190" s="63"/>
      <c r="T2190" s="63"/>
    </row>
    <row r="2191" spans="4:20" x14ac:dyDescent="0.35">
      <c r="D2191" s="63"/>
      <c r="S2191" s="63"/>
      <c r="T2191" s="63"/>
    </row>
    <row r="2192" spans="4:20" x14ac:dyDescent="0.35">
      <c r="D2192" s="63"/>
      <c r="S2192" s="63"/>
      <c r="T2192" s="63"/>
    </row>
    <row r="2193" spans="4:20" x14ac:dyDescent="0.35">
      <c r="D2193" s="63"/>
      <c r="S2193" s="63"/>
      <c r="T2193" s="63"/>
    </row>
    <row r="2194" spans="4:20" x14ac:dyDescent="0.35">
      <c r="D2194" s="63"/>
      <c r="S2194" s="63"/>
      <c r="T2194" s="63"/>
    </row>
    <row r="2195" spans="4:20" x14ac:dyDescent="0.35">
      <c r="D2195" s="63"/>
      <c r="S2195" s="63"/>
      <c r="T2195" s="63"/>
    </row>
    <row r="2196" spans="4:20" x14ac:dyDescent="0.35">
      <c r="D2196" s="63"/>
      <c r="S2196" s="63"/>
      <c r="T2196" s="63"/>
    </row>
    <row r="2197" spans="4:20" x14ac:dyDescent="0.35">
      <c r="D2197" s="63"/>
      <c r="S2197" s="63"/>
      <c r="T2197" s="63"/>
    </row>
    <row r="2198" spans="4:20" x14ac:dyDescent="0.35">
      <c r="D2198" s="63"/>
      <c r="S2198" s="63"/>
      <c r="T2198" s="63"/>
    </row>
    <row r="2199" spans="4:20" x14ac:dyDescent="0.35">
      <c r="D2199" s="63"/>
      <c r="S2199" s="63"/>
      <c r="T2199" s="63"/>
    </row>
    <row r="2200" spans="4:20" x14ac:dyDescent="0.35">
      <c r="D2200" s="63"/>
      <c r="S2200" s="63"/>
      <c r="T2200" s="63"/>
    </row>
    <row r="2201" spans="4:20" x14ac:dyDescent="0.35">
      <c r="D2201" s="63"/>
      <c r="S2201" s="63"/>
      <c r="T2201" s="63"/>
    </row>
    <row r="2202" spans="4:20" x14ac:dyDescent="0.35">
      <c r="D2202" s="63"/>
      <c r="S2202" s="63"/>
      <c r="T2202" s="63"/>
    </row>
    <row r="2203" spans="4:20" x14ac:dyDescent="0.35">
      <c r="D2203" s="63"/>
      <c r="S2203" s="63"/>
      <c r="T2203" s="63"/>
    </row>
    <row r="2204" spans="4:20" x14ac:dyDescent="0.35">
      <c r="D2204" s="63"/>
      <c r="S2204" s="63"/>
      <c r="T2204" s="63"/>
    </row>
    <row r="2205" spans="4:20" x14ac:dyDescent="0.35">
      <c r="D2205" s="63"/>
      <c r="S2205" s="63"/>
      <c r="T2205" s="63"/>
    </row>
    <row r="2206" spans="4:20" x14ac:dyDescent="0.35">
      <c r="D2206" s="63"/>
      <c r="S2206" s="63"/>
      <c r="T2206" s="63"/>
    </row>
    <row r="2207" spans="4:20" x14ac:dyDescent="0.35">
      <c r="D2207" s="63"/>
      <c r="S2207" s="63"/>
      <c r="T2207" s="63"/>
    </row>
    <row r="2208" spans="4:20" x14ac:dyDescent="0.35">
      <c r="D2208" s="63"/>
      <c r="S2208" s="63"/>
      <c r="T2208" s="63"/>
    </row>
    <row r="2209" spans="4:20" x14ac:dyDescent="0.35">
      <c r="D2209" s="63"/>
      <c r="S2209" s="63"/>
      <c r="T2209" s="63"/>
    </row>
    <row r="2210" spans="4:20" x14ac:dyDescent="0.35">
      <c r="D2210" s="63"/>
      <c r="S2210" s="63"/>
      <c r="T2210" s="63"/>
    </row>
    <row r="2211" spans="4:20" x14ac:dyDescent="0.35">
      <c r="D2211" s="63"/>
      <c r="S2211" s="63"/>
      <c r="T2211" s="63"/>
    </row>
    <row r="2212" spans="4:20" x14ac:dyDescent="0.35">
      <c r="D2212" s="63"/>
      <c r="S2212" s="63"/>
      <c r="T2212" s="63"/>
    </row>
    <row r="2213" spans="4:20" x14ac:dyDescent="0.35">
      <c r="D2213" s="63"/>
      <c r="S2213" s="63"/>
      <c r="T2213" s="63"/>
    </row>
    <row r="2214" spans="4:20" x14ac:dyDescent="0.35">
      <c r="D2214" s="63"/>
      <c r="S2214" s="63"/>
      <c r="T2214" s="63"/>
    </row>
    <row r="2215" spans="4:20" x14ac:dyDescent="0.35">
      <c r="D2215" s="63"/>
      <c r="S2215" s="63"/>
      <c r="T2215" s="63"/>
    </row>
    <row r="2216" spans="4:20" x14ac:dyDescent="0.35">
      <c r="D2216" s="63"/>
      <c r="S2216" s="63"/>
      <c r="T2216" s="63"/>
    </row>
    <row r="2217" spans="4:20" x14ac:dyDescent="0.35">
      <c r="D2217" s="63"/>
      <c r="S2217" s="63"/>
      <c r="T2217" s="63"/>
    </row>
    <row r="2218" spans="4:20" x14ac:dyDescent="0.35">
      <c r="D2218" s="63"/>
      <c r="S2218" s="63"/>
      <c r="T2218" s="63"/>
    </row>
    <row r="2219" spans="4:20" x14ac:dyDescent="0.35">
      <c r="D2219" s="63"/>
      <c r="S2219" s="63"/>
      <c r="T2219" s="63"/>
    </row>
    <row r="2220" spans="4:20" x14ac:dyDescent="0.35">
      <c r="D2220" s="63"/>
      <c r="S2220" s="63"/>
      <c r="T2220" s="63"/>
    </row>
    <row r="2221" spans="4:20" x14ac:dyDescent="0.35">
      <c r="D2221" s="63"/>
      <c r="S2221" s="63"/>
      <c r="T2221" s="63"/>
    </row>
    <row r="2222" spans="4:20" x14ac:dyDescent="0.35">
      <c r="D2222" s="63"/>
      <c r="S2222" s="63"/>
      <c r="T2222" s="63"/>
    </row>
    <row r="2223" spans="4:20" x14ac:dyDescent="0.35">
      <c r="D2223" s="63"/>
      <c r="S2223" s="63"/>
      <c r="T2223" s="63"/>
    </row>
    <row r="2224" spans="4:20" x14ac:dyDescent="0.35">
      <c r="D2224" s="63"/>
      <c r="S2224" s="63"/>
      <c r="T2224" s="63"/>
    </row>
    <row r="2225" spans="4:20" x14ac:dyDescent="0.35">
      <c r="D2225" s="63"/>
      <c r="S2225" s="63"/>
      <c r="T2225" s="63"/>
    </row>
    <row r="2226" spans="4:20" x14ac:dyDescent="0.35">
      <c r="D2226" s="63"/>
      <c r="S2226" s="63"/>
      <c r="T2226" s="63"/>
    </row>
    <row r="2227" spans="4:20" x14ac:dyDescent="0.35">
      <c r="D2227" s="63"/>
      <c r="S2227" s="63"/>
      <c r="T2227" s="63"/>
    </row>
    <row r="2228" spans="4:20" x14ac:dyDescent="0.35">
      <c r="D2228" s="63"/>
      <c r="S2228" s="63"/>
      <c r="T2228" s="63"/>
    </row>
    <row r="2229" spans="4:20" x14ac:dyDescent="0.35">
      <c r="D2229" s="63"/>
      <c r="S2229" s="63"/>
      <c r="T2229" s="63"/>
    </row>
    <row r="2230" spans="4:20" x14ac:dyDescent="0.35">
      <c r="D2230" s="63"/>
      <c r="S2230" s="63"/>
      <c r="T2230" s="63"/>
    </row>
    <row r="2231" spans="4:20" x14ac:dyDescent="0.35">
      <c r="D2231" s="63"/>
      <c r="S2231" s="63"/>
      <c r="T2231" s="63"/>
    </row>
    <row r="2232" spans="4:20" x14ac:dyDescent="0.35">
      <c r="D2232" s="63"/>
      <c r="S2232" s="63"/>
      <c r="T2232" s="63"/>
    </row>
    <row r="2233" spans="4:20" x14ac:dyDescent="0.35">
      <c r="D2233" s="63"/>
      <c r="S2233" s="63"/>
      <c r="T2233" s="63"/>
    </row>
    <row r="2234" spans="4:20" x14ac:dyDescent="0.35">
      <c r="D2234" s="63"/>
      <c r="S2234" s="63"/>
      <c r="T2234" s="63"/>
    </row>
    <row r="2235" spans="4:20" x14ac:dyDescent="0.35">
      <c r="D2235" s="63"/>
      <c r="S2235" s="63"/>
      <c r="T2235" s="63"/>
    </row>
    <row r="2236" spans="4:20" x14ac:dyDescent="0.35">
      <c r="D2236" s="63"/>
      <c r="S2236" s="63"/>
      <c r="T2236" s="63"/>
    </row>
    <row r="2237" spans="4:20" x14ac:dyDescent="0.35">
      <c r="D2237" s="63"/>
      <c r="S2237" s="63"/>
      <c r="T2237" s="63"/>
    </row>
    <row r="2238" spans="4:20" x14ac:dyDescent="0.35">
      <c r="D2238" s="63"/>
      <c r="S2238" s="63"/>
      <c r="T2238" s="63"/>
    </row>
    <row r="2239" spans="4:20" x14ac:dyDescent="0.35">
      <c r="D2239" s="63"/>
      <c r="S2239" s="63"/>
      <c r="T2239" s="63"/>
    </row>
    <row r="2240" spans="4:20" x14ac:dyDescent="0.35">
      <c r="D2240" s="63"/>
      <c r="S2240" s="63"/>
      <c r="T2240" s="63"/>
    </row>
    <row r="2241" spans="4:20" x14ac:dyDescent="0.35">
      <c r="D2241" s="63"/>
      <c r="S2241" s="63"/>
      <c r="T2241" s="63"/>
    </row>
    <row r="2242" spans="4:20" x14ac:dyDescent="0.35">
      <c r="D2242" s="63"/>
      <c r="S2242" s="63"/>
      <c r="T2242" s="63"/>
    </row>
    <row r="2243" spans="4:20" x14ac:dyDescent="0.35">
      <c r="D2243" s="63"/>
      <c r="S2243" s="63"/>
      <c r="T2243" s="63"/>
    </row>
    <row r="2244" spans="4:20" x14ac:dyDescent="0.35">
      <c r="D2244" s="63"/>
      <c r="S2244" s="63"/>
      <c r="T2244" s="63"/>
    </row>
    <row r="2245" spans="4:20" x14ac:dyDescent="0.35">
      <c r="D2245" s="63"/>
      <c r="S2245" s="63"/>
      <c r="T2245" s="63"/>
    </row>
    <row r="2246" spans="4:20" x14ac:dyDescent="0.35">
      <c r="D2246" s="63"/>
      <c r="S2246" s="63"/>
      <c r="T2246" s="63"/>
    </row>
    <row r="2247" spans="4:20" x14ac:dyDescent="0.35">
      <c r="D2247" s="63"/>
      <c r="S2247" s="63"/>
      <c r="T2247" s="63"/>
    </row>
    <row r="2248" spans="4:20" x14ac:dyDescent="0.35">
      <c r="D2248" s="63"/>
      <c r="S2248" s="63"/>
      <c r="T2248" s="63"/>
    </row>
    <row r="2249" spans="4:20" x14ac:dyDescent="0.35">
      <c r="D2249" s="63"/>
      <c r="S2249" s="63"/>
      <c r="T2249" s="63"/>
    </row>
    <row r="2250" spans="4:20" x14ac:dyDescent="0.35">
      <c r="D2250" s="63"/>
      <c r="S2250" s="63"/>
      <c r="T2250" s="63"/>
    </row>
    <row r="2251" spans="4:20" x14ac:dyDescent="0.35">
      <c r="D2251" s="63"/>
      <c r="S2251" s="63"/>
      <c r="T2251" s="63"/>
    </row>
    <row r="2252" spans="4:20" x14ac:dyDescent="0.35">
      <c r="D2252" s="63"/>
      <c r="S2252" s="63"/>
      <c r="T2252" s="63"/>
    </row>
    <row r="2253" spans="4:20" x14ac:dyDescent="0.35">
      <c r="D2253" s="63"/>
      <c r="S2253" s="63"/>
      <c r="T2253" s="63"/>
    </row>
    <row r="2254" spans="4:20" x14ac:dyDescent="0.35">
      <c r="D2254" s="63"/>
      <c r="S2254" s="63"/>
      <c r="T2254" s="63"/>
    </row>
    <row r="2255" spans="4:20" x14ac:dyDescent="0.35">
      <c r="D2255" s="63"/>
      <c r="S2255" s="63"/>
      <c r="T2255" s="63"/>
    </row>
    <row r="2256" spans="4:20" x14ac:dyDescent="0.35">
      <c r="D2256" s="63"/>
      <c r="S2256" s="63"/>
      <c r="T2256" s="63"/>
    </row>
    <row r="2257" spans="4:20" x14ac:dyDescent="0.35">
      <c r="D2257" s="63"/>
      <c r="S2257" s="63"/>
      <c r="T2257" s="63"/>
    </row>
    <row r="2258" spans="4:20" x14ac:dyDescent="0.35">
      <c r="D2258" s="63"/>
      <c r="S2258" s="63"/>
      <c r="T2258" s="63"/>
    </row>
    <row r="2259" spans="4:20" x14ac:dyDescent="0.35">
      <c r="D2259" s="63"/>
      <c r="S2259" s="63"/>
      <c r="T2259" s="63"/>
    </row>
    <row r="2260" spans="4:20" x14ac:dyDescent="0.35">
      <c r="D2260" s="63"/>
      <c r="S2260" s="63"/>
      <c r="T2260" s="63"/>
    </row>
    <row r="2261" spans="4:20" x14ac:dyDescent="0.35">
      <c r="D2261" s="63"/>
      <c r="S2261" s="63"/>
      <c r="T2261" s="63"/>
    </row>
    <row r="2262" spans="4:20" x14ac:dyDescent="0.35">
      <c r="D2262" s="63"/>
      <c r="S2262" s="63"/>
      <c r="T2262" s="63"/>
    </row>
    <row r="2263" spans="4:20" x14ac:dyDescent="0.35">
      <c r="D2263" s="63"/>
      <c r="S2263" s="63"/>
      <c r="T2263" s="63"/>
    </row>
    <row r="2264" spans="4:20" x14ac:dyDescent="0.35">
      <c r="D2264" s="63"/>
      <c r="S2264" s="63"/>
      <c r="T2264" s="63"/>
    </row>
    <row r="2265" spans="4:20" x14ac:dyDescent="0.35">
      <c r="D2265" s="63"/>
      <c r="S2265" s="63"/>
      <c r="T2265" s="63"/>
    </row>
    <row r="2266" spans="4:20" x14ac:dyDescent="0.35">
      <c r="D2266" s="63"/>
      <c r="S2266" s="63"/>
      <c r="T2266" s="63"/>
    </row>
    <row r="2267" spans="4:20" x14ac:dyDescent="0.35">
      <c r="D2267" s="63"/>
      <c r="S2267" s="63"/>
      <c r="T2267" s="63"/>
    </row>
    <row r="2268" spans="4:20" x14ac:dyDescent="0.35">
      <c r="D2268" s="63"/>
      <c r="S2268" s="63"/>
      <c r="T2268" s="63"/>
    </row>
    <row r="2269" spans="4:20" x14ac:dyDescent="0.35">
      <c r="D2269" s="63"/>
      <c r="S2269" s="63"/>
      <c r="T2269" s="63"/>
    </row>
    <row r="2270" spans="4:20" x14ac:dyDescent="0.35">
      <c r="D2270" s="63"/>
      <c r="S2270" s="63"/>
      <c r="T2270" s="63"/>
    </row>
    <row r="2271" spans="4:20" x14ac:dyDescent="0.35">
      <c r="D2271" s="63"/>
      <c r="S2271" s="63"/>
      <c r="T2271" s="63"/>
    </row>
    <row r="2272" spans="4:20" x14ac:dyDescent="0.35">
      <c r="D2272" s="63"/>
      <c r="S2272" s="63"/>
      <c r="T2272" s="63"/>
    </row>
    <row r="2273" spans="4:20" x14ac:dyDescent="0.35">
      <c r="D2273" s="63"/>
      <c r="S2273" s="63"/>
      <c r="T2273" s="63"/>
    </row>
    <row r="2274" spans="4:20" x14ac:dyDescent="0.35">
      <c r="D2274" s="63"/>
      <c r="S2274" s="63"/>
      <c r="T2274" s="63"/>
    </row>
    <row r="2275" spans="4:20" x14ac:dyDescent="0.35">
      <c r="D2275" s="63"/>
      <c r="S2275" s="63"/>
      <c r="T2275" s="63"/>
    </row>
    <row r="2276" spans="4:20" x14ac:dyDescent="0.35">
      <c r="D2276" s="63"/>
      <c r="S2276" s="63"/>
      <c r="T2276" s="63"/>
    </row>
    <row r="2277" spans="4:20" x14ac:dyDescent="0.35">
      <c r="D2277" s="63"/>
      <c r="S2277" s="63"/>
      <c r="T2277" s="63"/>
    </row>
    <row r="2278" spans="4:20" x14ac:dyDescent="0.35">
      <c r="D2278" s="63"/>
      <c r="S2278" s="63"/>
      <c r="T2278" s="63"/>
    </row>
    <row r="2279" spans="4:20" x14ac:dyDescent="0.35">
      <c r="D2279" s="63"/>
      <c r="S2279" s="63"/>
      <c r="T2279" s="63"/>
    </row>
    <row r="2280" spans="4:20" x14ac:dyDescent="0.35">
      <c r="D2280" s="63"/>
      <c r="S2280" s="63"/>
      <c r="T2280" s="63"/>
    </row>
    <row r="2281" spans="4:20" x14ac:dyDescent="0.35">
      <c r="D2281" s="63"/>
      <c r="S2281" s="63"/>
      <c r="T2281" s="63"/>
    </row>
    <row r="2282" spans="4:20" x14ac:dyDescent="0.35">
      <c r="D2282" s="63"/>
      <c r="S2282" s="63"/>
      <c r="T2282" s="63"/>
    </row>
    <row r="2283" spans="4:20" x14ac:dyDescent="0.35">
      <c r="D2283" s="63"/>
      <c r="S2283" s="63"/>
      <c r="T2283" s="63"/>
    </row>
    <row r="2284" spans="4:20" x14ac:dyDescent="0.35">
      <c r="D2284" s="63"/>
      <c r="S2284" s="63"/>
      <c r="T2284" s="63"/>
    </row>
    <row r="2285" spans="4:20" x14ac:dyDescent="0.35">
      <c r="D2285" s="63"/>
      <c r="S2285" s="63"/>
      <c r="T2285" s="63"/>
    </row>
    <row r="2286" spans="4:20" x14ac:dyDescent="0.35">
      <c r="D2286" s="63"/>
      <c r="S2286" s="63"/>
      <c r="T2286" s="63"/>
    </row>
    <row r="2287" spans="4:20" x14ac:dyDescent="0.35">
      <c r="D2287" s="63"/>
      <c r="S2287" s="63"/>
      <c r="T2287" s="63"/>
    </row>
    <row r="2288" spans="4:20" x14ac:dyDescent="0.35">
      <c r="D2288" s="63"/>
      <c r="S2288" s="63"/>
      <c r="T2288" s="63"/>
    </row>
    <row r="2289" spans="4:20" x14ac:dyDescent="0.35">
      <c r="D2289" s="63"/>
      <c r="S2289" s="63"/>
      <c r="T2289" s="63"/>
    </row>
    <row r="2290" spans="4:20" x14ac:dyDescent="0.35">
      <c r="D2290" s="63"/>
      <c r="S2290" s="63"/>
      <c r="T2290" s="63"/>
    </row>
    <row r="2291" spans="4:20" x14ac:dyDescent="0.35">
      <c r="D2291" s="63"/>
      <c r="S2291" s="63"/>
      <c r="T2291" s="63"/>
    </row>
    <row r="2292" spans="4:20" x14ac:dyDescent="0.35">
      <c r="D2292" s="63"/>
      <c r="S2292" s="63"/>
      <c r="T2292" s="63"/>
    </row>
    <row r="2293" spans="4:20" x14ac:dyDescent="0.35">
      <c r="D2293" s="63"/>
      <c r="S2293" s="63"/>
      <c r="T2293" s="63"/>
    </row>
    <row r="2294" spans="4:20" x14ac:dyDescent="0.35">
      <c r="D2294" s="63"/>
      <c r="S2294" s="63"/>
      <c r="T2294" s="63"/>
    </row>
    <row r="2295" spans="4:20" x14ac:dyDescent="0.35">
      <c r="D2295" s="63"/>
      <c r="S2295" s="63"/>
      <c r="T2295" s="63"/>
    </row>
    <row r="2296" spans="4:20" x14ac:dyDescent="0.35">
      <c r="D2296" s="63"/>
      <c r="S2296" s="63"/>
      <c r="T2296" s="63"/>
    </row>
    <row r="2297" spans="4:20" x14ac:dyDescent="0.35">
      <c r="D2297" s="63"/>
      <c r="S2297" s="63"/>
      <c r="T2297" s="63"/>
    </row>
    <row r="2298" spans="4:20" x14ac:dyDescent="0.35">
      <c r="D2298" s="63"/>
      <c r="S2298" s="63"/>
      <c r="T2298" s="63"/>
    </row>
    <row r="2299" spans="4:20" x14ac:dyDescent="0.35">
      <c r="D2299" s="63"/>
      <c r="S2299" s="63"/>
      <c r="T2299" s="63"/>
    </row>
    <row r="2300" spans="4:20" x14ac:dyDescent="0.35">
      <c r="D2300" s="63"/>
      <c r="S2300" s="63"/>
      <c r="T2300" s="63"/>
    </row>
    <row r="2301" spans="4:20" x14ac:dyDescent="0.35">
      <c r="D2301" s="63"/>
      <c r="S2301" s="63"/>
      <c r="T2301" s="63"/>
    </row>
    <row r="2302" spans="4:20" x14ac:dyDescent="0.35">
      <c r="D2302" s="63"/>
      <c r="S2302" s="63"/>
      <c r="T2302" s="63"/>
    </row>
    <row r="2303" spans="4:20" x14ac:dyDescent="0.35">
      <c r="D2303" s="63"/>
      <c r="S2303" s="63"/>
      <c r="T2303" s="63"/>
    </row>
    <row r="2304" spans="4:20" x14ac:dyDescent="0.35">
      <c r="D2304" s="63"/>
      <c r="S2304" s="63"/>
      <c r="T2304" s="63"/>
    </row>
    <row r="2305" spans="4:20" x14ac:dyDescent="0.35">
      <c r="D2305" s="63"/>
      <c r="S2305" s="63"/>
      <c r="T2305" s="63"/>
    </row>
    <row r="2306" spans="4:20" x14ac:dyDescent="0.35">
      <c r="D2306" s="63"/>
      <c r="S2306" s="63"/>
      <c r="T2306" s="63"/>
    </row>
    <row r="2307" spans="4:20" x14ac:dyDescent="0.35">
      <c r="D2307" s="63"/>
      <c r="S2307" s="63"/>
      <c r="T2307" s="63"/>
    </row>
    <row r="2308" spans="4:20" x14ac:dyDescent="0.35">
      <c r="D2308" s="63"/>
      <c r="S2308" s="63"/>
      <c r="T2308" s="63"/>
    </row>
    <row r="2309" spans="4:20" x14ac:dyDescent="0.35">
      <c r="D2309" s="63"/>
      <c r="S2309" s="63"/>
      <c r="T2309" s="63"/>
    </row>
    <row r="2310" spans="4:20" x14ac:dyDescent="0.35">
      <c r="D2310" s="63"/>
      <c r="S2310" s="63"/>
      <c r="T2310" s="63"/>
    </row>
    <row r="2311" spans="4:20" x14ac:dyDescent="0.35">
      <c r="D2311" s="63"/>
      <c r="S2311" s="63"/>
      <c r="T2311" s="63"/>
    </row>
    <row r="2312" spans="4:20" x14ac:dyDescent="0.35">
      <c r="D2312" s="63"/>
      <c r="S2312" s="63"/>
      <c r="T2312" s="63"/>
    </row>
    <row r="2313" spans="4:20" x14ac:dyDescent="0.35">
      <c r="D2313" s="63"/>
      <c r="S2313" s="63"/>
      <c r="T2313" s="63"/>
    </row>
    <row r="2314" spans="4:20" x14ac:dyDescent="0.35">
      <c r="D2314" s="63"/>
      <c r="S2314" s="63"/>
      <c r="T2314" s="63"/>
    </row>
    <row r="2315" spans="4:20" x14ac:dyDescent="0.35">
      <c r="D2315" s="63"/>
      <c r="S2315" s="63"/>
      <c r="T2315" s="63"/>
    </row>
    <row r="2316" spans="4:20" x14ac:dyDescent="0.35">
      <c r="D2316" s="63"/>
      <c r="S2316" s="63"/>
      <c r="T2316" s="63"/>
    </row>
    <row r="2317" spans="4:20" x14ac:dyDescent="0.35">
      <c r="D2317" s="63"/>
      <c r="S2317" s="63"/>
      <c r="T2317" s="63"/>
    </row>
    <row r="2318" spans="4:20" x14ac:dyDescent="0.35">
      <c r="D2318" s="63"/>
      <c r="S2318" s="63"/>
      <c r="T2318" s="63"/>
    </row>
    <row r="2319" spans="4:20" x14ac:dyDescent="0.35">
      <c r="D2319" s="63"/>
      <c r="S2319" s="63"/>
      <c r="T2319" s="63"/>
    </row>
    <row r="2320" spans="4:20" x14ac:dyDescent="0.35">
      <c r="D2320" s="63"/>
      <c r="S2320" s="63"/>
      <c r="T2320" s="63"/>
    </row>
    <row r="2321" spans="4:20" x14ac:dyDescent="0.35">
      <c r="D2321" s="63"/>
      <c r="S2321" s="63"/>
      <c r="T2321" s="63"/>
    </row>
    <row r="2322" spans="4:20" x14ac:dyDescent="0.35">
      <c r="D2322" s="63"/>
      <c r="S2322" s="63"/>
      <c r="T2322" s="63"/>
    </row>
    <row r="2323" spans="4:20" x14ac:dyDescent="0.35">
      <c r="D2323" s="63"/>
      <c r="S2323" s="63"/>
      <c r="T2323" s="63"/>
    </row>
    <row r="2324" spans="4:20" x14ac:dyDescent="0.35">
      <c r="D2324" s="63"/>
      <c r="S2324" s="63"/>
      <c r="T2324" s="63"/>
    </row>
    <row r="2325" spans="4:20" x14ac:dyDescent="0.35">
      <c r="D2325" s="63"/>
      <c r="S2325" s="63"/>
      <c r="T2325" s="63"/>
    </row>
    <row r="2326" spans="4:20" x14ac:dyDescent="0.35">
      <c r="D2326" s="63"/>
      <c r="S2326" s="63"/>
      <c r="T2326" s="63"/>
    </row>
    <row r="2327" spans="4:20" x14ac:dyDescent="0.35">
      <c r="D2327" s="63"/>
      <c r="S2327" s="63"/>
      <c r="T2327" s="63"/>
    </row>
    <row r="2328" spans="4:20" x14ac:dyDescent="0.35">
      <c r="D2328" s="63"/>
      <c r="S2328" s="63"/>
      <c r="T2328" s="63"/>
    </row>
    <row r="2329" spans="4:20" x14ac:dyDescent="0.35">
      <c r="D2329" s="63"/>
      <c r="S2329" s="63"/>
      <c r="T2329" s="63"/>
    </row>
    <row r="2330" spans="4:20" x14ac:dyDescent="0.35">
      <c r="D2330" s="63"/>
      <c r="S2330" s="63"/>
      <c r="T2330" s="63"/>
    </row>
    <row r="2331" spans="4:20" x14ac:dyDescent="0.35">
      <c r="D2331" s="63"/>
      <c r="S2331" s="63"/>
      <c r="T2331" s="63"/>
    </row>
    <row r="2332" spans="4:20" x14ac:dyDescent="0.35">
      <c r="D2332" s="63"/>
      <c r="S2332" s="63"/>
      <c r="T2332" s="63"/>
    </row>
    <row r="2333" spans="4:20" x14ac:dyDescent="0.35">
      <c r="D2333" s="63"/>
      <c r="S2333" s="63"/>
      <c r="T2333" s="63"/>
    </row>
    <row r="2334" spans="4:20" x14ac:dyDescent="0.35">
      <c r="D2334" s="63"/>
      <c r="S2334" s="63"/>
      <c r="T2334" s="63"/>
    </row>
    <row r="2335" spans="4:20" x14ac:dyDescent="0.35">
      <c r="D2335" s="63"/>
      <c r="S2335" s="63"/>
      <c r="T2335" s="63"/>
    </row>
    <row r="2336" spans="4:20" x14ac:dyDescent="0.35">
      <c r="D2336" s="63"/>
      <c r="S2336" s="63"/>
      <c r="T2336" s="63"/>
    </row>
    <row r="2337" spans="4:20" x14ac:dyDescent="0.35">
      <c r="D2337" s="63"/>
      <c r="S2337" s="63"/>
      <c r="T2337" s="63"/>
    </row>
    <row r="2338" spans="4:20" x14ac:dyDescent="0.35">
      <c r="D2338" s="63"/>
      <c r="S2338" s="63"/>
      <c r="T2338" s="63"/>
    </row>
    <row r="2339" spans="4:20" x14ac:dyDescent="0.35">
      <c r="D2339" s="63"/>
      <c r="S2339" s="63"/>
      <c r="T2339" s="63"/>
    </row>
    <row r="2340" spans="4:20" x14ac:dyDescent="0.35">
      <c r="D2340" s="63"/>
      <c r="S2340" s="63"/>
      <c r="T2340" s="63"/>
    </row>
    <row r="2341" spans="4:20" x14ac:dyDescent="0.35">
      <c r="D2341" s="63"/>
      <c r="S2341" s="63"/>
      <c r="T2341" s="63"/>
    </row>
    <row r="2342" spans="4:20" x14ac:dyDescent="0.35">
      <c r="D2342" s="63"/>
      <c r="S2342" s="63"/>
      <c r="T2342" s="63"/>
    </row>
    <row r="2343" spans="4:20" x14ac:dyDescent="0.35">
      <c r="D2343" s="63"/>
      <c r="S2343" s="63"/>
      <c r="T2343" s="63"/>
    </row>
    <row r="2344" spans="4:20" x14ac:dyDescent="0.35">
      <c r="D2344" s="63"/>
      <c r="S2344" s="63"/>
      <c r="T2344" s="63"/>
    </row>
    <row r="2345" spans="4:20" x14ac:dyDescent="0.35">
      <c r="D2345" s="63"/>
      <c r="S2345" s="63"/>
      <c r="T2345" s="63"/>
    </row>
    <row r="2346" spans="4:20" x14ac:dyDescent="0.35">
      <c r="D2346" s="63"/>
      <c r="S2346" s="63"/>
      <c r="T2346" s="63"/>
    </row>
    <row r="2347" spans="4:20" x14ac:dyDescent="0.35">
      <c r="D2347" s="63"/>
      <c r="S2347" s="63"/>
      <c r="T2347" s="63"/>
    </row>
    <row r="2348" spans="4:20" x14ac:dyDescent="0.35">
      <c r="D2348" s="63"/>
      <c r="S2348" s="63"/>
      <c r="T2348" s="63"/>
    </row>
    <row r="2349" spans="4:20" x14ac:dyDescent="0.35">
      <c r="D2349" s="63"/>
      <c r="S2349" s="63"/>
      <c r="T2349" s="63"/>
    </row>
    <row r="2350" spans="4:20" x14ac:dyDescent="0.35">
      <c r="D2350" s="63"/>
      <c r="S2350" s="63"/>
      <c r="T2350" s="63"/>
    </row>
    <row r="2351" spans="4:20" x14ac:dyDescent="0.35">
      <c r="D2351" s="63"/>
      <c r="S2351" s="63"/>
      <c r="T2351" s="63"/>
    </row>
    <row r="2352" spans="4:20" x14ac:dyDescent="0.35">
      <c r="D2352" s="63"/>
      <c r="S2352" s="63"/>
      <c r="T2352" s="63"/>
    </row>
    <row r="2353" spans="4:20" x14ac:dyDescent="0.35">
      <c r="D2353" s="63"/>
      <c r="S2353" s="63"/>
      <c r="T2353" s="63"/>
    </row>
    <row r="2354" spans="4:20" x14ac:dyDescent="0.35">
      <c r="D2354" s="63"/>
      <c r="S2354" s="63"/>
      <c r="T2354" s="63"/>
    </row>
    <row r="2355" spans="4:20" x14ac:dyDescent="0.35">
      <c r="D2355" s="63"/>
      <c r="S2355" s="63"/>
      <c r="T2355" s="63"/>
    </row>
    <row r="2356" spans="4:20" x14ac:dyDescent="0.35">
      <c r="D2356" s="63"/>
      <c r="S2356" s="63"/>
      <c r="T2356" s="63"/>
    </row>
    <row r="2357" spans="4:20" x14ac:dyDescent="0.35">
      <c r="D2357" s="63"/>
      <c r="S2357" s="63"/>
      <c r="T2357" s="63"/>
    </row>
    <row r="2358" spans="4:20" x14ac:dyDescent="0.35">
      <c r="D2358" s="63"/>
      <c r="S2358" s="63"/>
      <c r="T2358" s="63"/>
    </row>
    <row r="2359" spans="4:20" x14ac:dyDescent="0.35">
      <c r="D2359" s="63"/>
      <c r="S2359" s="63"/>
      <c r="T2359" s="63"/>
    </row>
    <row r="2360" spans="4:20" x14ac:dyDescent="0.35">
      <c r="D2360" s="63"/>
      <c r="S2360" s="63"/>
      <c r="T2360" s="63"/>
    </row>
    <row r="2361" spans="4:20" x14ac:dyDescent="0.35">
      <c r="D2361" s="63"/>
      <c r="S2361" s="63"/>
      <c r="T2361" s="63"/>
    </row>
    <row r="2362" spans="4:20" x14ac:dyDescent="0.35">
      <c r="D2362" s="63"/>
      <c r="S2362" s="63"/>
      <c r="T2362" s="63"/>
    </row>
    <row r="2363" spans="4:20" x14ac:dyDescent="0.35">
      <c r="D2363" s="63"/>
      <c r="S2363" s="63"/>
      <c r="T2363" s="63"/>
    </row>
    <row r="2364" spans="4:20" x14ac:dyDescent="0.35">
      <c r="D2364" s="63"/>
      <c r="S2364" s="63"/>
      <c r="T2364" s="63"/>
    </row>
    <row r="2365" spans="4:20" x14ac:dyDescent="0.35">
      <c r="D2365" s="63"/>
      <c r="S2365" s="63"/>
      <c r="T2365" s="63"/>
    </row>
    <row r="2366" spans="4:20" x14ac:dyDescent="0.35">
      <c r="D2366" s="63"/>
      <c r="S2366" s="63"/>
      <c r="T2366" s="63"/>
    </row>
    <row r="2367" spans="4:20" x14ac:dyDescent="0.35">
      <c r="D2367" s="63"/>
      <c r="S2367" s="63"/>
      <c r="T2367" s="63"/>
    </row>
    <row r="2368" spans="4:20" x14ac:dyDescent="0.35">
      <c r="D2368" s="63"/>
      <c r="S2368" s="63"/>
      <c r="T2368" s="63"/>
    </row>
    <row r="2369" spans="4:20" x14ac:dyDescent="0.35">
      <c r="D2369" s="63"/>
      <c r="S2369" s="63"/>
      <c r="T2369" s="63"/>
    </row>
    <row r="2370" spans="4:20" x14ac:dyDescent="0.35">
      <c r="D2370" s="63"/>
      <c r="S2370" s="63"/>
      <c r="T2370" s="63"/>
    </row>
    <row r="2371" spans="4:20" x14ac:dyDescent="0.35">
      <c r="D2371" s="63"/>
      <c r="S2371" s="63"/>
      <c r="T2371" s="63"/>
    </row>
    <row r="2372" spans="4:20" x14ac:dyDescent="0.35">
      <c r="D2372" s="63"/>
      <c r="S2372" s="63"/>
      <c r="T2372" s="63"/>
    </row>
    <row r="2373" spans="4:20" x14ac:dyDescent="0.35">
      <c r="D2373" s="63"/>
      <c r="S2373" s="63"/>
      <c r="T2373" s="63"/>
    </row>
    <row r="2374" spans="4:20" x14ac:dyDescent="0.35">
      <c r="D2374" s="63"/>
      <c r="S2374" s="63"/>
      <c r="T2374" s="63"/>
    </row>
    <row r="2375" spans="4:20" x14ac:dyDescent="0.35">
      <c r="D2375" s="63"/>
      <c r="S2375" s="63"/>
      <c r="T2375" s="63"/>
    </row>
    <row r="2376" spans="4:20" x14ac:dyDescent="0.35">
      <c r="D2376" s="63"/>
      <c r="S2376" s="63"/>
      <c r="T2376" s="63"/>
    </row>
    <row r="2377" spans="4:20" x14ac:dyDescent="0.35">
      <c r="D2377" s="63"/>
      <c r="S2377" s="63"/>
      <c r="T2377" s="63"/>
    </row>
    <row r="2378" spans="4:20" x14ac:dyDescent="0.35">
      <c r="D2378" s="63"/>
      <c r="S2378" s="63"/>
      <c r="T2378" s="63"/>
    </row>
    <row r="2379" spans="4:20" x14ac:dyDescent="0.35">
      <c r="D2379" s="63"/>
      <c r="S2379" s="63"/>
      <c r="T2379" s="63"/>
    </row>
    <row r="2380" spans="4:20" x14ac:dyDescent="0.35">
      <c r="D2380" s="63"/>
      <c r="S2380" s="63"/>
      <c r="T2380" s="63"/>
    </row>
    <row r="2381" spans="4:20" x14ac:dyDescent="0.35">
      <c r="D2381" s="63"/>
      <c r="S2381" s="63"/>
      <c r="T2381" s="63"/>
    </row>
    <row r="2382" spans="4:20" x14ac:dyDescent="0.35">
      <c r="D2382" s="63"/>
      <c r="S2382" s="63"/>
      <c r="T2382" s="63"/>
    </row>
    <row r="2383" spans="4:20" x14ac:dyDescent="0.35">
      <c r="D2383" s="63"/>
      <c r="S2383" s="63"/>
      <c r="T2383" s="63"/>
    </row>
    <row r="2384" spans="4:20" x14ac:dyDescent="0.35">
      <c r="D2384" s="63"/>
      <c r="S2384" s="63"/>
      <c r="T2384" s="63"/>
    </row>
    <row r="2385" spans="4:20" x14ac:dyDescent="0.35">
      <c r="D2385" s="63"/>
      <c r="S2385" s="63"/>
      <c r="T2385" s="63"/>
    </row>
    <row r="2386" spans="4:20" x14ac:dyDescent="0.35">
      <c r="D2386" s="63"/>
      <c r="S2386" s="63"/>
      <c r="T2386" s="63"/>
    </row>
    <row r="2387" spans="4:20" x14ac:dyDescent="0.35">
      <c r="D2387" s="63"/>
      <c r="S2387" s="63"/>
      <c r="T2387" s="63"/>
    </row>
    <row r="2388" spans="4:20" x14ac:dyDescent="0.35">
      <c r="D2388" s="63"/>
      <c r="S2388" s="63"/>
      <c r="T2388" s="63"/>
    </row>
    <row r="2389" spans="4:20" x14ac:dyDescent="0.35">
      <c r="D2389" s="63"/>
      <c r="S2389" s="63"/>
      <c r="T2389" s="63"/>
    </row>
    <row r="2390" spans="4:20" x14ac:dyDescent="0.35">
      <c r="D2390" s="63"/>
      <c r="S2390" s="63"/>
      <c r="T2390" s="63"/>
    </row>
    <row r="2391" spans="4:20" x14ac:dyDescent="0.35">
      <c r="D2391" s="63"/>
      <c r="S2391" s="63"/>
      <c r="T2391" s="63"/>
    </row>
    <row r="2392" spans="4:20" x14ac:dyDescent="0.35">
      <c r="D2392" s="63"/>
      <c r="S2392" s="63"/>
      <c r="T2392" s="63"/>
    </row>
    <row r="2393" spans="4:20" x14ac:dyDescent="0.35">
      <c r="D2393" s="63"/>
      <c r="S2393" s="63"/>
      <c r="T2393" s="63"/>
    </row>
    <row r="2394" spans="4:20" x14ac:dyDescent="0.35">
      <c r="D2394" s="63"/>
      <c r="S2394" s="63"/>
      <c r="T2394" s="63"/>
    </row>
    <row r="2395" spans="4:20" x14ac:dyDescent="0.35">
      <c r="D2395" s="63"/>
      <c r="S2395" s="63"/>
      <c r="T2395" s="63"/>
    </row>
    <row r="2396" spans="4:20" x14ac:dyDescent="0.35">
      <c r="D2396" s="63"/>
      <c r="S2396" s="63"/>
      <c r="T2396" s="63"/>
    </row>
    <row r="2397" spans="4:20" x14ac:dyDescent="0.35">
      <c r="D2397" s="63"/>
      <c r="S2397" s="63"/>
      <c r="T2397" s="63"/>
    </row>
    <row r="2398" spans="4:20" x14ac:dyDescent="0.35">
      <c r="D2398" s="63"/>
      <c r="S2398" s="63"/>
      <c r="T2398" s="63"/>
    </row>
    <row r="2399" spans="4:20" x14ac:dyDescent="0.35">
      <c r="D2399" s="63"/>
      <c r="S2399" s="63"/>
      <c r="T2399" s="63"/>
    </row>
    <row r="2400" spans="4:20" x14ac:dyDescent="0.35">
      <c r="D2400" s="63"/>
      <c r="S2400" s="63"/>
      <c r="T2400" s="63"/>
    </row>
    <row r="2401" spans="4:20" x14ac:dyDescent="0.35">
      <c r="D2401" s="63"/>
      <c r="S2401" s="63"/>
      <c r="T2401" s="63"/>
    </row>
    <row r="2402" spans="4:20" x14ac:dyDescent="0.35">
      <c r="D2402" s="63"/>
      <c r="S2402" s="63"/>
      <c r="T2402" s="63"/>
    </row>
    <row r="2403" spans="4:20" x14ac:dyDescent="0.35">
      <c r="D2403" s="63"/>
      <c r="S2403" s="63"/>
      <c r="T2403" s="63"/>
    </row>
    <row r="2404" spans="4:20" x14ac:dyDescent="0.35">
      <c r="D2404" s="63"/>
      <c r="S2404" s="63"/>
      <c r="T2404" s="63"/>
    </row>
    <row r="2405" spans="4:20" x14ac:dyDescent="0.35">
      <c r="D2405" s="63"/>
      <c r="S2405" s="63"/>
      <c r="T2405" s="63"/>
    </row>
    <row r="2406" spans="4:20" x14ac:dyDescent="0.35">
      <c r="D2406" s="63"/>
      <c r="S2406" s="63"/>
      <c r="T2406" s="63"/>
    </row>
    <row r="2407" spans="4:20" x14ac:dyDescent="0.35">
      <c r="D2407" s="63"/>
      <c r="S2407" s="63"/>
      <c r="T2407" s="63"/>
    </row>
    <row r="2408" spans="4:20" x14ac:dyDescent="0.35">
      <c r="D2408" s="63"/>
      <c r="S2408" s="63"/>
      <c r="T2408" s="63"/>
    </row>
    <row r="2409" spans="4:20" x14ac:dyDescent="0.35">
      <c r="D2409" s="63"/>
      <c r="S2409" s="63"/>
      <c r="T2409" s="63"/>
    </row>
    <row r="2410" spans="4:20" x14ac:dyDescent="0.35">
      <c r="D2410" s="63"/>
      <c r="S2410" s="63"/>
      <c r="T2410" s="63"/>
    </row>
    <row r="2411" spans="4:20" x14ac:dyDescent="0.35">
      <c r="D2411" s="63"/>
      <c r="S2411" s="63"/>
      <c r="T2411" s="63"/>
    </row>
    <row r="2412" spans="4:20" x14ac:dyDescent="0.35">
      <c r="D2412" s="63"/>
      <c r="S2412" s="63"/>
      <c r="T2412" s="63"/>
    </row>
    <row r="2413" spans="4:20" x14ac:dyDescent="0.35">
      <c r="D2413" s="63"/>
      <c r="S2413" s="63"/>
      <c r="T2413" s="63"/>
    </row>
    <row r="2414" spans="4:20" x14ac:dyDescent="0.35">
      <c r="D2414" s="63"/>
      <c r="S2414" s="63"/>
      <c r="T2414" s="63"/>
    </row>
    <row r="2415" spans="4:20" x14ac:dyDescent="0.35">
      <c r="D2415" s="63"/>
      <c r="S2415" s="63"/>
      <c r="T2415" s="63"/>
    </row>
    <row r="2416" spans="4:20" x14ac:dyDescent="0.35">
      <c r="D2416" s="63"/>
      <c r="S2416" s="63"/>
      <c r="T2416" s="63"/>
    </row>
    <row r="2417" spans="4:20" x14ac:dyDescent="0.35">
      <c r="D2417" s="63"/>
      <c r="S2417" s="63"/>
      <c r="T2417" s="63"/>
    </row>
    <row r="2418" spans="4:20" x14ac:dyDescent="0.35">
      <c r="D2418" s="63"/>
      <c r="S2418" s="63"/>
      <c r="T2418" s="63"/>
    </row>
    <row r="2419" spans="4:20" x14ac:dyDescent="0.35">
      <c r="D2419" s="63"/>
      <c r="S2419" s="63"/>
      <c r="T2419" s="63"/>
    </row>
    <row r="2420" spans="4:20" x14ac:dyDescent="0.35">
      <c r="D2420" s="63"/>
      <c r="S2420" s="63"/>
      <c r="T2420" s="63"/>
    </row>
    <row r="2421" spans="4:20" x14ac:dyDescent="0.35">
      <c r="D2421" s="63"/>
      <c r="S2421" s="63"/>
      <c r="T2421" s="63"/>
    </row>
    <row r="2422" spans="4:20" x14ac:dyDescent="0.35">
      <c r="D2422" s="63"/>
      <c r="S2422" s="63"/>
      <c r="T2422" s="63"/>
    </row>
    <row r="2423" spans="4:20" x14ac:dyDescent="0.35">
      <c r="D2423" s="63"/>
      <c r="S2423" s="63"/>
      <c r="T2423" s="63"/>
    </row>
    <row r="2424" spans="4:20" x14ac:dyDescent="0.35">
      <c r="D2424" s="63"/>
      <c r="S2424" s="63"/>
      <c r="T2424" s="63"/>
    </row>
    <row r="2425" spans="4:20" x14ac:dyDescent="0.35">
      <c r="D2425" s="63"/>
      <c r="S2425" s="63"/>
      <c r="T2425" s="63"/>
    </row>
    <row r="2426" spans="4:20" x14ac:dyDescent="0.35">
      <c r="D2426" s="63"/>
      <c r="S2426" s="63"/>
      <c r="T2426" s="63"/>
    </row>
    <row r="2427" spans="4:20" x14ac:dyDescent="0.35">
      <c r="D2427" s="63"/>
      <c r="S2427" s="63"/>
      <c r="T2427" s="63"/>
    </row>
    <row r="2428" spans="4:20" x14ac:dyDescent="0.35">
      <c r="D2428" s="63"/>
      <c r="S2428" s="63"/>
      <c r="T2428" s="63"/>
    </row>
    <row r="2429" spans="4:20" x14ac:dyDescent="0.35">
      <c r="D2429" s="63"/>
      <c r="S2429" s="63"/>
      <c r="T2429" s="63"/>
    </row>
    <row r="2430" spans="4:20" x14ac:dyDescent="0.35">
      <c r="D2430" s="63"/>
      <c r="S2430" s="63"/>
      <c r="T2430" s="63"/>
    </row>
    <row r="2431" spans="4:20" x14ac:dyDescent="0.35">
      <c r="D2431" s="63"/>
      <c r="S2431" s="63"/>
      <c r="T2431" s="63"/>
    </row>
    <row r="2432" spans="4:20" x14ac:dyDescent="0.35">
      <c r="D2432" s="63"/>
      <c r="S2432" s="63"/>
      <c r="T2432" s="63"/>
    </row>
    <row r="2433" spans="4:20" x14ac:dyDescent="0.35">
      <c r="D2433" s="63"/>
      <c r="S2433" s="63"/>
      <c r="T2433" s="63"/>
    </row>
    <row r="2434" spans="4:20" x14ac:dyDescent="0.35">
      <c r="D2434" s="63"/>
      <c r="S2434" s="63"/>
      <c r="T2434" s="63"/>
    </row>
    <row r="2435" spans="4:20" x14ac:dyDescent="0.35">
      <c r="D2435" s="63"/>
      <c r="S2435" s="63"/>
      <c r="T2435" s="63"/>
    </row>
    <row r="2436" spans="4:20" x14ac:dyDescent="0.35">
      <c r="D2436" s="63"/>
      <c r="S2436" s="63"/>
      <c r="T2436" s="63"/>
    </row>
    <row r="2437" spans="4:20" x14ac:dyDescent="0.35">
      <c r="D2437" s="63"/>
      <c r="S2437" s="63"/>
      <c r="T2437" s="63"/>
    </row>
    <row r="2438" spans="4:20" x14ac:dyDescent="0.35">
      <c r="D2438" s="63"/>
      <c r="S2438" s="63"/>
      <c r="T2438" s="63"/>
    </row>
    <row r="2439" spans="4:20" x14ac:dyDescent="0.35">
      <c r="D2439" s="63"/>
      <c r="S2439" s="63"/>
      <c r="T2439" s="63"/>
    </row>
    <row r="2440" spans="4:20" x14ac:dyDescent="0.35">
      <c r="D2440" s="63"/>
      <c r="S2440" s="63"/>
      <c r="T2440" s="63"/>
    </row>
    <row r="2441" spans="4:20" x14ac:dyDescent="0.35">
      <c r="D2441" s="63"/>
      <c r="S2441" s="63"/>
      <c r="T2441" s="63"/>
    </row>
    <row r="2442" spans="4:20" x14ac:dyDescent="0.35">
      <c r="D2442" s="63"/>
      <c r="S2442" s="63"/>
      <c r="T2442" s="63"/>
    </row>
    <row r="2443" spans="4:20" x14ac:dyDescent="0.35">
      <c r="D2443" s="63"/>
      <c r="S2443" s="63"/>
      <c r="T2443" s="63"/>
    </row>
    <row r="2444" spans="4:20" x14ac:dyDescent="0.35">
      <c r="D2444" s="63"/>
      <c r="S2444" s="63"/>
      <c r="T2444" s="63"/>
    </row>
    <row r="2445" spans="4:20" x14ac:dyDescent="0.35">
      <c r="D2445" s="63"/>
      <c r="S2445" s="63"/>
      <c r="T2445" s="63"/>
    </row>
    <row r="2446" spans="4:20" x14ac:dyDescent="0.35">
      <c r="D2446" s="63"/>
      <c r="S2446" s="63"/>
      <c r="T2446" s="63"/>
    </row>
    <row r="2447" spans="4:20" x14ac:dyDescent="0.35">
      <c r="D2447" s="63"/>
      <c r="S2447" s="63"/>
      <c r="T2447" s="63"/>
    </row>
    <row r="2448" spans="4:20" x14ac:dyDescent="0.35">
      <c r="D2448" s="63"/>
      <c r="S2448" s="63"/>
      <c r="T2448" s="63"/>
    </row>
    <row r="2449" spans="4:20" x14ac:dyDescent="0.35">
      <c r="D2449" s="63"/>
      <c r="S2449" s="63"/>
      <c r="T2449" s="63"/>
    </row>
    <row r="2450" spans="4:20" x14ac:dyDescent="0.35">
      <c r="D2450" s="63"/>
      <c r="S2450" s="63"/>
      <c r="T2450" s="63"/>
    </row>
    <row r="2451" spans="4:20" x14ac:dyDescent="0.35">
      <c r="D2451" s="63"/>
      <c r="S2451" s="63"/>
      <c r="T2451" s="63"/>
    </row>
    <row r="2452" spans="4:20" x14ac:dyDescent="0.35">
      <c r="D2452" s="63"/>
      <c r="S2452" s="63"/>
      <c r="T2452" s="63"/>
    </row>
    <row r="2453" spans="4:20" x14ac:dyDescent="0.35">
      <c r="D2453" s="63"/>
      <c r="S2453" s="63"/>
      <c r="T2453" s="63"/>
    </row>
    <row r="2454" spans="4:20" x14ac:dyDescent="0.35">
      <c r="D2454" s="63"/>
      <c r="S2454" s="63"/>
      <c r="T2454" s="63"/>
    </row>
    <row r="2455" spans="4:20" x14ac:dyDescent="0.35">
      <c r="D2455" s="63"/>
      <c r="S2455" s="63"/>
      <c r="T2455" s="63"/>
    </row>
    <row r="2456" spans="4:20" x14ac:dyDescent="0.35">
      <c r="D2456" s="63"/>
      <c r="S2456" s="63"/>
      <c r="T2456" s="63"/>
    </row>
    <row r="2457" spans="4:20" x14ac:dyDescent="0.35">
      <c r="D2457" s="63"/>
      <c r="S2457" s="63"/>
      <c r="T2457" s="63"/>
    </row>
    <row r="2458" spans="4:20" x14ac:dyDescent="0.35">
      <c r="D2458" s="63"/>
      <c r="S2458" s="63"/>
      <c r="T2458" s="63"/>
    </row>
    <row r="2459" spans="4:20" x14ac:dyDescent="0.35">
      <c r="D2459" s="63"/>
      <c r="S2459" s="63"/>
      <c r="T2459" s="63"/>
    </row>
    <row r="2460" spans="4:20" x14ac:dyDescent="0.35">
      <c r="D2460" s="63"/>
      <c r="S2460" s="63"/>
      <c r="T2460" s="63"/>
    </row>
    <row r="2461" spans="4:20" x14ac:dyDescent="0.35">
      <c r="D2461" s="63"/>
      <c r="S2461" s="63"/>
      <c r="T2461" s="63"/>
    </row>
    <row r="2462" spans="4:20" x14ac:dyDescent="0.35">
      <c r="D2462" s="63"/>
      <c r="S2462" s="63"/>
      <c r="T2462" s="63"/>
    </row>
    <row r="2463" spans="4:20" x14ac:dyDescent="0.35">
      <c r="D2463" s="63"/>
      <c r="S2463" s="63"/>
      <c r="T2463" s="63"/>
    </row>
    <row r="2464" spans="4:20" x14ac:dyDescent="0.35">
      <c r="D2464" s="63"/>
      <c r="S2464" s="63"/>
      <c r="T2464" s="63"/>
    </row>
    <row r="2465" spans="4:20" x14ac:dyDescent="0.35">
      <c r="D2465" s="63"/>
      <c r="S2465" s="63"/>
      <c r="T2465" s="63"/>
    </row>
    <row r="2466" spans="4:20" x14ac:dyDescent="0.35">
      <c r="D2466" s="63"/>
      <c r="S2466" s="63"/>
      <c r="T2466" s="63"/>
    </row>
    <row r="2467" spans="4:20" x14ac:dyDescent="0.35">
      <c r="D2467" s="63"/>
      <c r="S2467" s="63"/>
      <c r="T2467" s="63"/>
    </row>
    <row r="2468" spans="4:20" x14ac:dyDescent="0.35">
      <c r="D2468" s="63"/>
      <c r="S2468" s="63"/>
      <c r="T2468" s="63"/>
    </row>
    <row r="2469" spans="4:20" x14ac:dyDescent="0.35">
      <c r="D2469" s="63"/>
      <c r="S2469" s="63"/>
      <c r="T2469" s="63"/>
    </row>
    <row r="2470" spans="4:20" x14ac:dyDescent="0.35">
      <c r="D2470" s="63"/>
      <c r="S2470" s="63"/>
      <c r="T2470" s="63"/>
    </row>
    <row r="2471" spans="4:20" x14ac:dyDescent="0.35">
      <c r="D2471" s="63"/>
      <c r="S2471" s="63"/>
      <c r="T2471" s="63"/>
    </row>
    <row r="2472" spans="4:20" x14ac:dyDescent="0.35">
      <c r="D2472" s="63"/>
      <c r="S2472" s="63"/>
      <c r="T2472" s="63"/>
    </row>
    <row r="2473" spans="4:20" x14ac:dyDescent="0.35">
      <c r="D2473" s="63"/>
      <c r="S2473" s="63"/>
      <c r="T2473" s="63"/>
    </row>
    <row r="2474" spans="4:20" x14ac:dyDescent="0.35">
      <c r="D2474" s="63"/>
      <c r="S2474" s="63"/>
      <c r="T2474" s="63"/>
    </row>
    <row r="2475" spans="4:20" x14ac:dyDescent="0.35">
      <c r="D2475" s="63"/>
      <c r="S2475" s="63"/>
      <c r="T2475" s="63"/>
    </row>
    <row r="2476" spans="4:20" x14ac:dyDescent="0.35">
      <c r="D2476" s="63"/>
      <c r="S2476" s="63"/>
      <c r="T2476" s="63"/>
    </row>
    <row r="2477" spans="4:20" x14ac:dyDescent="0.35">
      <c r="D2477" s="63"/>
      <c r="S2477" s="63"/>
      <c r="T2477" s="63"/>
    </row>
    <row r="2478" spans="4:20" x14ac:dyDescent="0.35">
      <c r="D2478" s="63"/>
      <c r="S2478" s="63"/>
      <c r="T2478" s="63"/>
    </row>
    <row r="2479" spans="4:20" x14ac:dyDescent="0.35">
      <c r="D2479" s="63"/>
      <c r="S2479" s="63"/>
      <c r="T2479" s="63"/>
    </row>
    <row r="2480" spans="4:20" x14ac:dyDescent="0.35">
      <c r="D2480" s="63"/>
      <c r="S2480" s="63"/>
      <c r="T2480" s="63"/>
    </row>
    <row r="2481" spans="4:20" x14ac:dyDescent="0.35">
      <c r="D2481" s="63"/>
      <c r="S2481" s="63"/>
      <c r="T2481" s="63"/>
    </row>
    <row r="2482" spans="4:20" x14ac:dyDescent="0.35">
      <c r="D2482" s="63"/>
      <c r="S2482" s="63"/>
      <c r="T2482" s="63"/>
    </row>
    <row r="2483" spans="4:20" x14ac:dyDescent="0.35">
      <c r="D2483" s="63"/>
      <c r="S2483" s="63"/>
      <c r="T2483" s="63"/>
    </row>
    <row r="2484" spans="4:20" x14ac:dyDescent="0.35">
      <c r="D2484" s="63"/>
      <c r="S2484" s="63"/>
      <c r="T2484" s="63"/>
    </row>
    <row r="2485" spans="4:20" x14ac:dyDescent="0.35">
      <c r="D2485" s="63"/>
      <c r="S2485" s="63"/>
      <c r="T2485" s="63"/>
    </row>
    <row r="2486" spans="4:20" x14ac:dyDescent="0.35">
      <c r="D2486" s="63"/>
      <c r="S2486" s="63"/>
      <c r="T2486" s="63"/>
    </row>
    <row r="2487" spans="4:20" x14ac:dyDescent="0.35">
      <c r="D2487" s="63"/>
      <c r="S2487" s="63"/>
      <c r="T2487" s="63"/>
    </row>
    <row r="2488" spans="4:20" x14ac:dyDescent="0.35">
      <c r="D2488" s="63"/>
      <c r="S2488" s="63"/>
      <c r="T2488" s="63"/>
    </row>
    <row r="2489" spans="4:20" x14ac:dyDescent="0.35">
      <c r="D2489" s="63"/>
      <c r="S2489" s="63"/>
      <c r="T2489" s="63"/>
    </row>
    <row r="2490" spans="4:20" x14ac:dyDescent="0.35">
      <c r="D2490" s="63"/>
      <c r="S2490" s="63"/>
      <c r="T2490" s="63"/>
    </row>
    <row r="2491" spans="4:20" x14ac:dyDescent="0.35">
      <c r="D2491" s="63"/>
      <c r="S2491" s="63"/>
      <c r="T2491" s="63"/>
    </row>
    <row r="2492" spans="4:20" x14ac:dyDescent="0.35">
      <c r="D2492" s="63"/>
      <c r="S2492" s="63"/>
      <c r="T2492" s="63"/>
    </row>
    <row r="2493" spans="4:20" x14ac:dyDescent="0.35">
      <c r="D2493" s="63"/>
      <c r="S2493" s="63"/>
      <c r="T2493" s="63"/>
    </row>
    <row r="2494" spans="4:20" x14ac:dyDescent="0.35">
      <c r="D2494" s="63"/>
      <c r="S2494" s="63"/>
      <c r="T2494" s="63"/>
    </row>
    <row r="2495" spans="4:20" x14ac:dyDescent="0.35">
      <c r="D2495" s="63"/>
      <c r="S2495" s="63"/>
      <c r="T2495" s="63"/>
    </row>
    <row r="2496" spans="4:20" x14ac:dyDescent="0.35">
      <c r="D2496" s="63"/>
      <c r="S2496" s="63"/>
      <c r="T2496" s="63"/>
    </row>
    <row r="2497" spans="4:20" x14ac:dyDescent="0.35">
      <c r="D2497" s="63"/>
      <c r="S2497" s="63"/>
      <c r="T2497" s="63"/>
    </row>
    <row r="2498" spans="4:20" x14ac:dyDescent="0.35">
      <c r="D2498" s="63"/>
      <c r="S2498" s="63"/>
      <c r="T2498" s="63"/>
    </row>
    <row r="2499" spans="4:20" x14ac:dyDescent="0.35">
      <c r="D2499" s="63"/>
      <c r="S2499" s="63"/>
      <c r="T2499" s="63"/>
    </row>
    <row r="2500" spans="4:20" x14ac:dyDescent="0.35">
      <c r="D2500" s="63"/>
      <c r="S2500" s="63"/>
      <c r="T2500" s="63"/>
    </row>
    <row r="2501" spans="4:20" x14ac:dyDescent="0.35">
      <c r="D2501" s="63"/>
      <c r="S2501" s="63"/>
      <c r="T2501" s="63"/>
    </row>
    <row r="2502" spans="4:20" x14ac:dyDescent="0.35">
      <c r="D2502" s="63"/>
      <c r="S2502" s="63"/>
      <c r="T2502" s="63"/>
    </row>
    <row r="2503" spans="4:20" x14ac:dyDescent="0.35">
      <c r="D2503" s="63"/>
      <c r="S2503" s="63"/>
      <c r="T2503" s="63"/>
    </row>
    <row r="2504" spans="4:20" x14ac:dyDescent="0.35">
      <c r="D2504" s="63"/>
      <c r="S2504" s="63"/>
      <c r="T2504" s="63"/>
    </row>
    <row r="2505" spans="4:20" x14ac:dyDescent="0.35">
      <c r="D2505" s="63"/>
      <c r="S2505" s="63"/>
      <c r="T2505" s="63"/>
    </row>
    <row r="2506" spans="4:20" x14ac:dyDescent="0.35">
      <c r="D2506" s="63"/>
      <c r="S2506" s="63"/>
      <c r="T2506" s="63"/>
    </row>
    <row r="2507" spans="4:20" x14ac:dyDescent="0.35">
      <c r="D2507" s="63"/>
      <c r="S2507" s="63"/>
      <c r="T2507" s="63"/>
    </row>
    <row r="2508" spans="4:20" x14ac:dyDescent="0.35">
      <c r="D2508" s="63"/>
      <c r="S2508" s="63"/>
      <c r="T2508" s="63"/>
    </row>
    <row r="2509" spans="4:20" x14ac:dyDescent="0.35">
      <c r="D2509" s="63"/>
      <c r="S2509" s="63"/>
      <c r="T2509" s="63"/>
    </row>
    <row r="2510" spans="4:20" x14ac:dyDescent="0.35">
      <c r="D2510" s="63"/>
      <c r="S2510" s="63"/>
      <c r="T2510" s="63"/>
    </row>
    <row r="2511" spans="4:20" x14ac:dyDescent="0.35">
      <c r="D2511" s="63"/>
      <c r="S2511" s="63"/>
      <c r="T2511" s="63"/>
    </row>
    <row r="2512" spans="4:20" x14ac:dyDescent="0.35">
      <c r="D2512" s="63"/>
      <c r="S2512" s="63"/>
      <c r="T2512" s="63"/>
    </row>
    <row r="2513" spans="4:20" x14ac:dyDescent="0.35">
      <c r="D2513" s="63"/>
      <c r="S2513" s="63"/>
      <c r="T2513" s="63"/>
    </row>
    <row r="2514" spans="4:20" x14ac:dyDescent="0.35">
      <c r="D2514" s="63"/>
      <c r="S2514" s="63"/>
      <c r="T2514" s="63"/>
    </row>
    <row r="2515" spans="4:20" x14ac:dyDescent="0.35">
      <c r="D2515" s="63"/>
      <c r="S2515" s="63"/>
      <c r="T2515" s="63"/>
    </row>
    <row r="2516" spans="4:20" x14ac:dyDescent="0.35">
      <c r="D2516" s="63"/>
      <c r="S2516" s="63"/>
      <c r="T2516" s="63"/>
    </row>
    <row r="2517" spans="4:20" x14ac:dyDescent="0.35">
      <c r="D2517" s="63"/>
      <c r="S2517" s="63"/>
      <c r="T2517" s="63"/>
    </row>
    <row r="2518" spans="4:20" x14ac:dyDescent="0.35">
      <c r="D2518" s="63"/>
      <c r="S2518" s="63"/>
      <c r="T2518" s="63"/>
    </row>
    <row r="2519" spans="4:20" x14ac:dyDescent="0.35">
      <c r="D2519" s="63"/>
      <c r="S2519" s="63"/>
      <c r="T2519" s="63"/>
    </row>
    <row r="2520" spans="4:20" x14ac:dyDescent="0.35">
      <c r="D2520" s="63"/>
      <c r="S2520" s="63"/>
      <c r="T2520" s="63"/>
    </row>
    <row r="2521" spans="4:20" x14ac:dyDescent="0.35">
      <c r="D2521" s="63"/>
      <c r="S2521" s="63"/>
      <c r="T2521" s="63"/>
    </row>
    <row r="2522" spans="4:20" x14ac:dyDescent="0.35">
      <c r="D2522" s="63"/>
      <c r="S2522" s="63"/>
      <c r="T2522" s="63"/>
    </row>
    <row r="2523" spans="4:20" x14ac:dyDescent="0.35">
      <c r="D2523" s="63"/>
      <c r="S2523" s="63"/>
      <c r="T2523" s="63"/>
    </row>
    <row r="2524" spans="4:20" x14ac:dyDescent="0.35">
      <c r="D2524" s="63"/>
      <c r="S2524" s="63"/>
      <c r="T2524" s="63"/>
    </row>
    <row r="2525" spans="4:20" x14ac:dyDescent="0.35">
      <c r="D2525" s="63"/>
      <c r="S2525" s="63"/>
      <c r="T2525" s="63"/>
    </row>
    <row r="2526" spans="4:20" x14ac:dyDescent="0.35">
      <c r="D2526" s="63"/>
      <c r="S2526" s="63"/>
      <c r="T2526" s="63"/>
    </row>
    <row r="2527" spans="4:20" x14ac:dyDescent="0.35">
      <c r="D2527" s="63"/>
      <c r="S2527" s="63"/>
      <c r="T2527" s="63"/>
    </row>
    <row r="2528" spans="4:20" x14ac:dyDescent="0.35">
      <c r="D2528" s="63"/>
      <c r="S2528" s="63"/>
      <c r="T2528" s="63"/>
    </row>
    <row r="2529" spans="4:20" x14ac:dyDescent="0.35">
      <c r="D2529" s="63"/>
      <c r="S2529" s="63"/>
      <c r="T2529" s="63"/>
    </row>
    <row r="2530" spans="4:20" x14ac:dyDescent="0.35">
      <c r="D2530" s="63"/>
      <c r="S2530" s="63"/>
      <c r="T2530" s="63"/>
    </row>
    <row r="2531" spans="4:20" x14ac:dyDescent="0.35">
      <c r="D2531" s="63"/>
      <c r="S2531" s="63"/>
      <c r="T2531" s="63"/>
    </row>
    <row r="2532" spans="4:20" x14ac:dyDescent="0.35">
      <c r="D2532" s="63"/>
      <c r="S2532" s="63"/>
      <c r="T2532" s="63"/>
    </row>
    <row r="2533" spans="4:20" x14ac:dyDescent="0.35">
      <c r="D2533" s="63"/>
      <c r="S2533" s="63"/>
      <c r="T2533" s="63"/>
    </row>
    <row r="2534" spans="4:20" x14ac:dyDescent="0.35">
      <c r="D2534" s="63"/>
      <c r="S2534" s="63"/>
      <c r="T2534" s="63"/>
    </row>
    <row r="2535" spans="4:20" x14ac:dyDescent="0.35">
      <c r="D2535" s="63"/>
      <c r="S2535" s="63"/>
      <c r="T2535" s="63"/>
    </row>
    <row r="2536" spans="4:20" x14ac:dyDescent="0.35">
      <c r="D2536" s="63"/>
      <c r="S2536" s="63"/>
      <c r="T2536" s="63"/>
    </row>
    <row r="2537" spans="4:20" x14ac:dyDescent="0.35">
      <c r="D2537" s="63"/>
      <c r="S2537" s="63"/>
      <c r="T2537" s="63"/>
    </row>
    <row r="2538" spans="4:20" x14ac:dyDescent="0.35">
      <c r="D2538" s="63"/>
      <c r="S2538" s="63"/>
      <c r="T2538" s="63"/>
    </row>
    <row r="2539" spans="4:20" x14ac:dyDescent="0.35">
      <c r="D2539" s="63"/>
      <c r="S2539" s="63"/>
      <c r="T2539" s="63"/>
    </row>
    <row r="2540" spans="4:20" x14ac:dyDescent="0.35">
      <c r="D2540" s="63"/>
      <c r="S2540" s="63"/>
      <c r="T2540" s="63"/>
    </row>
    <row r="2541" spans="4:20" x14ac:dyDescent="0.35">
      <c r="D2541" s="63"/>
      <c r="S2541" s="63"/>
      <c r="T2541" s="63"/>
    </row>
    <row r="2542" spans="4:20" x14ac:dyDescent="0.35">
      <c r="D2542" s="63"/>
      <c r="S2542" s="63"/>
      <c r="T2542" s="63"/>
    </row>
    <row r="2543" spans="4:20" x14ac:dyDescent="0.35">
      <c r="D2543" s="63"/>
      <c r="S2543" s="63"/>
      <c r="T2543" s="63"/>
    </row>
    <row r="2544" spans="4:20" x14ac:dyDescent="0.35">
      <c r="D2544" s="63"/>
      <c r="S2544" s="63"/>
      <c r="T2544" s="63"/>
    </row>
    <row r="2545" spans="4:20" x14ac:dyDescent="0.35">
      <c r="D2545" s="63"/>
      <c r="S2545" s="63"/>
      <c r="T2545" s="63"/>
    </row>
    <row r="2546" spans="4:20" x14ac:dyDescent="0.35">
      <c r="D2546" s="63"/>
      <c r="S2546" s="63"/>
      <c r="T2546" s="63"/>
    </row>
    <row r="2547" spans="4:20" x14ac:dyDescent="0.35">
      <c r="D2547" s="63"/>
      <c r="S2547" s="63"/>
      <c r="T2547" s="63"/>
    </row>
    <row r="2548" spans="4:20" x14ac:dyDescent="0.35">
      <c r="D2548" s="63"/>
      <c r="S2548" s="63"/>
      <c r="T2548" s="63"/>
    </row>
    <row r="2549" spans="4:20" x14ac:dyDescent="0.35">
      <c r="D2549" s="63"/>
      <c r="S2549" s="63"/>
      <c r="T2549" s="63"/>
    </row>
    <row r="2550" spans="4:20" x14ac:dyDescent="0.35">
      <c r="D2550" s="63"/>
      <c r="S2550" s="63"/>
      <c r="T2550" s="63"/>
    </row>
    <row r="2551" spans="4:20" x14ac:dyDescent="0.35">
      <c r="D2551" s="63"/>
      <c r="S2551" s="63"/>
      <c r="T2551" s="63"/>
    </row>
    <row r="2552" spans="4:20" x14ac:dyDescent="0.35">
      <c r="D2552" s="63"/>
      <c r="S2552" s="63"/>
      <c r="T2552" s="63"/>
    </row>
    <row r="2553" spans="4:20" x14ac:dyDescent="0.35">
      <c r="D2553" s="63"/>
      <c r="S2553" s="63"/>
      <c r="T2553" s="63"/>
    </row>
    <row r="2554" spans="4:20" x14ac:dyDescent="0.35">
      <c r="D2554" s="63"/>
      <c r="S2554" s="63"/>
      <c r="T2554" s="63"/>
    </row>
    <row r="2555" spans="4:20" x14ac:dyDescent="0.35">
      <c r="D2555" s="63"/>
      <c r="S2555" s="63"/>
      <c r="T2555" s="63"/>
    </row>
    <row r="2556" spans="4:20" x14ac:dyDescent="0.35">
      <c r="D2556" s="63"/>
      <c r="S2556" s="63"/>
      <c r="T2556" s="63"/>
    </row>
    <row r="2557" spans="4:20" x14ac:dyDescent="0.35">
      <c r="D2557" s="63"/>
      <c r="S2557" s="63"/>
      <c r="T2557" s="63"/>
    </row>
    <row r="2558" spans="4:20" x14ac:dyDescent="0.35">
      <c r="D2558" s="63"/>
      <c r="S2558" s="63"/>
      <c r="T2558" s="63"/>
    </row>
    <row r="2559" spans="4:20" x14ac:dyDescent="0.35">
      <c r="D2559" s="63"/>
      <c r="S2559" s="63"/>
      <c r="T2559" s="63"/>
    </row>
    <row r="2560" spans="4:20" x14ac:dyDescent="0.35">
      <c r="D2560" s="63"/>
      <c r="S2560" s="63"/>
      <c r="T2560" s="63"/>
    </row>
    <row r="2561" spans="4:20" x14ac:dyDescent="0.35">
      <c r="D2561" s="63"/>
      <c r="S2561" s="63"/>
      <c r="T2561" s="63"/>
    </row>
    <row r="2562" spans="4:20" x14ac:dyDescent="0.35">
      <c r="D2562" s="63"/>
      <c r="S2562" s="63"/>
      <c r="T2562" s="63"/>
    </row>
    <row r="2563" spans="4:20" x14ac:dyDescent="0.35">
      <c r="D2563" s="63"/>
      <c r="S2563" s="63"/>
      <c r="T2563" s="63"/>
    </row>
    <row r="2564" spans="4:20" x14ac:dyDescent="0.35">
      <c r="D2564" s="63"/>
      <c r="S2564" s="63"/>
      <c r="T2564" s="63"/>
    </row>
    <row r="2565" spans="4:20" x14ac:dyDescent="0.35">
      <c r="D2565" s="63"/>
      <c r="S2565" s="63"/>
      <c r="T2565" s="63"/>
    </row>
    <row r="2566" spans="4:20" x14ac:dyDescent="0.35">
      <c r="D2566" s="63"/>
      <c r="S2566" s="63"/>
      <c r="T2566" s="63"/>
    </row>
    <row r="2567" spans="4:20" x14ac:dyDescent="0.35">
      <c r="D2567" s="63"/>
      <c r="S2567" s="63"/>
      <c r="T2567" s="63"/>
    </row>
    <row r="2568" spans="4:20" x14ac:dyDescent="0.35">
      <c r="D2568" s="63"/>
      <c r="S2568" s="63"/>
      <c r="T2568" s="63"/>
    </row>
    <row r="2569" spans="4:20" x14ac:dyDescent="0.35">
      <c r="D2569" s="63"/>
      <c r="S2569" s="63"/>
      <c r="T2569" s="63"/>
    </row>
    <row r="2570" spans="4:20" x14ac:dyDescent="0.35">
      <c r="D2570" s="63"/>
      <c r="S2570" s="63"/>
      <c r="T2570" s="63"/>
    </row>
    <row r="2571" spans="4:20" x14ac:dyDescent="0.35">
      <c r="D2571" s="63"/>
      <c r="S2571" s="63"/>
      <c r="T2571" s="63"/>
    </row>
    <row r="2572" spans="4:20" x14ac:dyDescent="0.35">
      <c r="D2572" s="63"/>
      <c r="S2572" s="63"/>
      <c r="T2572" s="63"/>
    </row>
    <row r="2573" spans="4:20" x14ac:dyDescent="0.35">
      <c r="D2573" s="63"/>
      <c r="S2573" s="63"/>
      <c r="T2573" s="63"/>
    </row>
    <row r="2574" spans="4:20" x14ac:dyDescent="0.35">
      <c r="D2574" s="63"/>
      <c r="S2574" s="63"/>
      <c r="T2574" s="63"/>
    </row>
    <row r="2575" spans="4:20" x14ac:dyDescent="0.35">
      <c r="D2575" s="63"/>
      <c r="S2575" s="63"/>
      <c r="T2575" s="63"/>
    </row>
    <row r="2576" spans="4:20" x14ac:dyDescent="0.35">
      <c r="D2576" s="63"/>
      <c r="S2576" s="63"/>
      <c r="T2576" s="63"/>
    </row>
    <row r="2577" spans="4:20" x14ac:dyDescent="0.35">
      <c r="D2577" s="63"/>
      <c r="S2577" s="63"/>
      <c r="T2577" s="63"/>
    </row>
    <row r="2578" spans="4:20" x14ac:dyDescent="0.35">
      <c r="D2578" s="63"/>
      <c r="S2578" s="63"/>
      <c r="T2578" s="63"/>
    </row>
    <row r="2579" spans="4:20" x14ac:dyDescent="0.35">
      <c r="D2579" s="63"/>
      <c r="S2579" s="63"/>
      <c r="T2579" s="63"/>
    </row>
    <row r="2580" spans="4:20" x14ac:dyDescent="0.35">
      <c r="D2580" s="63"/>
      <c r="S2580" s="63"/>
      <c r="T2580" s="63"/>
    </row>
    <row r="2581" spans="4:20" x14ac:dyDescent="0.35">
      <c r="D2581" s="63"/>
      <c r="S2581" s="63"/>
      <c r="T2581" s="63"/>
    </row>
    <row r="2582" spans="4:20" x14ac:dyDescent="0.35">
      <c r="D2582" s="63"/>
      <c r="S2582" s="63"/>
      <c r="T2582" s="63"/>
    </row>
    <row r="2583" spans="4:20" x14ac:dyDescent="0.35">
      <c r="D2583" s="63"/>
      <c r="S2583" s="63"/>
      <c r="T2583" s="63"/>
    </row>
    <row r="2584" spans="4:20" x14ac:dyDescent="0.35">
      <c r="D2584" s="63"/>
      <c r="S2584" s="63"/>
      <c r="T2584" s="63"/>
    </row>
    <row r="2585" spans="4:20" x14ac:dyDescent="0.35">
      <c r="D2585" s="63"/>
      <c r="S2585" s="63"/>
      <c r="T2585" s="63"/>
    </row>
    <row r="2586" spans="4:20" x14ac:dyDescent="0.35">
      <c r="D2586" s="63"/>
      <c r="S2586" s="63"/>
      <c r="T2586" s="63"/>
    </row>
    <row r="2587" spans="4:20" x14ac:dyDescent="0.35">
      <c r="D2587" s="63"/>
      <c r="S2587" s="63"/>
      <c r="T2587" s="63"/>
    </row>
    <row r="2588" spans="4:20" x14ac:dyDescent="0.35">
      <c r="D2588" s="63"/>
      <c r="S2588" s="63"/>
      <c r="T2588" s="63"/>
    </row>
    <row r="2589" spans="4:20" x14ac:dyDescent="0.35">
      <c r="D2589" s="63"/>
      <c r="S2589" s="63"/>
      <c r="T2589" s="63"/>
    </row>
    <row r="2590" spans="4:20" x14ac:dyDescent="0.35">
      <c r="D2590" s="63"/>
      <c r="S2590" s="63"/>
      <c r="T2590" s="63"/>
    </row>
    <row r="2591" spans="4:20" x14ac:dyDescent="0.35">
      <c r="D2591" s="63"/>
      <c r="S2591" s="63"/>
      <c r="T2591" s="63"/>
    </row>
    <row r="2592" spans="4:20" x14ac:dyDescent="0.35">
      <c r="D2592" s="63"/>
      <c r="S2592" s="63"/>
      <c r="T2592" s="63"/>
    </row>
    <row r="2593" spans="4:20" x14ac:dyDescent="0.35">
      <c r="D2593" s="63"/>
      <c r="S2593" s="63"/>
      <c r="T2593" s="63"/>
    </row>
    <row r="2594" spans="4:20" x14ac:dyDescent="0.35">
      <c r="D2594" s="63"/>
      <c r="S2594" s="63"/>
      <c r="T2594" s="63"/>
    </row>
    <row r="2595" spans="4:20" x14ac:dyDescent="0.35">
      <c r="D2595" s="63"/>
      <c r="S2595" s="63"/>
      <c r="T2595" s="63"/>
    </row>
    <row r="2596" spans="4:20" x14ac:dyDescent="0.35">
      <c r="D2596" s="63"/>
      <c r="S2596" s="63"/>
      <c r="T2596" s="63"/>
    </row>
    <row r="2597" spans="4:20" x14ac:dyDescent="0.35">
      <c r="D2597" s="63"/>
      <c r="S2597" s="63"/>
      <c r="T2597" s="63"/>
    </row>
    <row r="2598" spans="4:20" x14ac:dyDescent="0.35">
      <c r="D2598" s="63"/>
      <c r="S2598" s="63"/>
      <c r="T2598" s="63"/>
    </row>
    <row r="2599" spans="4:20" x14ac:dyDescent="0.35">
      <c r="D2599" s="63"/>
      <c r="S2599" s="63"/>
      <c r="T2599" s="63"/>
    </row>
    <row r="2600" spans="4:20" x14ac:dyDescent="0.35">
      <c r="D2600" s="63"/>
      <c r="S2600" s="63"/>
      <c r="T2600" s="63"/>
    </row>
    <row r="2601" spans="4:20" x14ac:dyDescent="0.35">
      <c r="D2601" s="63"/>
      <c r="S2601" s="63"/>
      <c r="T2601" s="63"/>
    </row>
    <row r="2602" spans="4:20" x14ac:dyDescent="0.35">
      <c r="D2602" s="63"/>
      <c r="S2602" s="63"/>
      <c r="T2602" s="63"/>
    </row>
    <row r="2603" spans="4:20" x14ac:dyDescent="0.35">
      <c r="D2603" s="63"/>
      <c r="S2603" s="63"/>
      <c r="T2603" s="63"/>
    </row>
    <row r="2604" spans="4:20" x14ac:dyDescent="0.35">
      <c r="D2604" s="63"/>
      <c r="S2604" s="63"/>
      <c r="T2604" s="63"/>
    </row>
    <row r="2605" spans="4:20" x14ac:dyDescent="0.35">
      <c r="D2605" s="63"/>
      <c r="S2605" s="63"/>
      <c r="T2605" s="63"/>
    </row>
    <row r="2606" spans="4:20" x14ac:dyDescent="0.35">
      <c r="D2606" s="63"/>
      <c r="S2606" s="63"/>
      <c r="T2606" s="63"/>
    </row>
    <row r="2607" spans="4:20" x14ac:dyDescent="0.35">
      <c r="D2607" s="63"/>
      <c r="S2607" s="63"/>
      <c r="T2607" s="63"/>
    </row>
    <row r="2608" spans="4:20" x14ac:dyDescent="0.35">
      <c r="D2608" s="63"/>
      <c r="S2608" s="63"/>
      <c r="T2608" s="63"/>
    </row>
    <row r="2609" spans="4:20" x14ac:dyDescent="0.35">
      <c r="D2609" s="63"/>
      <c r="S2609" s="63"/>
      <c r="T2609" s="63"/>
    </row>
    <row r="2610" spans="4:20" x14ac:dyDescent="0.35">
      <c r="D2610" s="63"/>
      <c r="S2610" s="63"/>
      <c r="T2610" s="63"/>
    </row>
    <row r="2611" spans="4:20" x14ac:dyDescent="0.35">
      <c r="D2611" s="63"/>
      <c r="S2611" s="63"/>
      <c r="T2611" s="63"/>
    </row>
    <row r="2612" spans="4:20" x14ac:dyDescent="0.35">
      <c r="D2612" s="63"/>
      <c r="S2612" s="63"/>
      <c r="T2612" s="63"/>
    </row>
    <row r="2613" spans="4:20" x14ac:dyDescent="0.35">
      <c r="D2613" s="63"/>
      <c r="S2613" s="63"/>
      <c r="T2613" s="63"/>
    </row>
    <row r="2614" spans="4:20" x14ac:dyDescent="0.35">
      <c r="D2614" s="63"/>
      <c r="S2614" s="63"/>
      <c r="T2614" s="63"/>
    </row>
    <row r="2615" spans="4:20" x14ac:dyDescent="0.35">
      <c r="D2615" s="63"/>
      <c r="S2615" s="63"/>
      <c r="T2615" s="63"/>
    </row>
    <row r="2616" spans="4:20" x14ac:dyDescent="0.35">
      <c r="D2616" s="63"/>
      <c r="S2616" s="63"/>
      <c r="T2616" s="63"/>
    </row>
    <row r="2617" spans="4:20" x14ac:dyDescent="0.35">
      <c r="D2617" s="63"/>
      <c r="S2617" s="63"/>
      <c r="T2617" s="63"/>
    </row>
    <row r="2618" spans="4:20" x14ac:dyDescent="0.35">
      <c r="D2618" s="63"/>
      <c r="S2618" s="63"/>
      <c r="T2618" s="63"/>
    </row>
    <row r="2619" spans="4:20" x14ac:dyDescent="0.35">
      <c r="D2619" s="63"/>
      <c r="S2619" s="63"/>
      <c r="T2619" s="63"/>
    </row>
    <row r="2620" spans="4:20" x14ac:dyDescent="0.35">
      <c r="D2620" s="63"/>
      <c r="S2620" s="63"/>
      <c r="T2620" s="63"/>
    </row>
    <row r="2621" spans="4:20" x14ac:dyDescent="0.35">
      <c r="D2621" s="63"/>
      <c r="S2621" s="63"/>
      <c r="T2621" s="63"/>
    </row>
    <row r="2622" spans="4:20" x14ac:dyDescent="0.35">
      <c r="D2622" s="63"/>
      <c r="S2622" s="63"/>
      <c r="T2622" s="63"/>
    </row>
    <row r="2623" spans="4:20" x14ac:dyDescent="0.35">
      <c r="D2623" s="63"/>
      <c r="S2623" s="63"/>
      <c r="T2623" s="63"/>
    </row>
    <row r="2624" spans="4:20" x14ac:dyDescent="0.35">
      <c r="D2624" s="63"/>
      <c r="S2624" s="63"/>
      <c r="T2624" s="63"/>
    </row>
    <row r="2625" spans="4:20" x14ac:dyDescent="0.35">
      <c r="D2625" s="63"/>
      <c r="S2625" s="63"/>
      <c r="T2625" s="63"/>
    </row>
    <row r="2626" spans="4:20" x14ac:dyDescent="0.35">
      <c r="D2626" s="63"/>
      <c r="S2626" s="63"/>
      <c r="T2626" s="63"/>
    </row>
    <row r="2627" spans="4:20" x14ac:dyDescent="0.35">
      <c r="D2627" s="63"/>
      <c r="S2627" s="63"/>
      <c r="T2627" s="63"/>
    </row>
    <row r="2628" spans="4:20" x14ac:dyDescent="0.35">
      <c r="D2628" s="63"/>
      <c r="S2628" s="63"/>
      <c r="T2628" s="63"/>
    </row>
    <row r="2629" spans="4:20" x14ac:dyDescent="0.35">
      <c r="D2629" s="63"/>
      <c r="S2629" s="63"/>
      <c r="T2629" s="63"/>
    </row>
    <row r="2630" spans="4:20" x14ac:dyDescent="0.35">
      <c r="D2630" s="63"/>
      <c r="S2630" s="63"/>
      <c r="T2630" s="63"/>
    </row>
    <row r="2631" spans="4:20" x14ac:dyDescent="0.35">
      <c r="D2631" s="63"/>
      <c r="S2631" s="63"/>
      <c r="T2631" s="63"/>
    </row>
    <row r="2632" spans="4:20" x14ac:dyDescent="0.35">
      <c r="D2632" s="63"/>
      <c r="S2632" s="63"/>
      <c r="T2632" s="63"/>
    </row>
    <row r="2633" spans="4:20" x14ac:dyDescent="0.35">
      <c r="D2633" s="63"/>
      <c r="S2633" s="63"/>
      <c r="T2633" s="63"/>
    </row>
    <row r="2634" spans="4:20" x14ac:dyDescent="0.35">
      <c r="D2634" s="63"/>
      <c r="S2634" s="63"/>
      <c r="T2634" s="63"/>
    </row>
    <row r="2635" spans="4:20" x14ac:dyDescent="0.35">
      <c r="D2635" s="63"/>
      <c r="S2635" s="63"/>
      <c r="T2635" s="63"/>
    </row>
    <row r="2636" spans="4:20" x14ac:dyDescent="0.35">
      <c r="D2636" s="63"/>
      <c r="S2636" s="63"/>
      <c r="T2636" s="63"/>
    </row>
    <row r="2637" spans="4:20" x14ac:dyDescent="0.35">
      <c r="D2637" s="63"/>
      <c r="S2637" s="63"/>
      <c r="T2637" s="63"/>
    </row>
    <row r="2638" spans="4:20" x14ac:dyDescent="0.35">
      <c r="D2638" s="63"/>
      <c r="S2638" s="63"/>
      <c r="T2638" s="63"/>
    </row>
    <row r="2639" spans="4:20" x14ac:dyDescent="0.35">
      <c r="D2639" s="63"/>
      <c r="S2639" s="63"/>
      <c r="T2639" s="63"/>
    </row>
    <row r="2640" spans="4:20" x14ac:dyDescent="0.35">
      <c r="D2640" s="63"/>
      <c r="S2640" s="63"/>
      <c r="T2640" s="63"/>
    </row>
    <row r="2641" spans="4:20" x14ac:dyDescent="0.35">
      <c r="D2641" s="63"/>
      <c r="S2641" s="63"/>
      <c r="T2641" s="63"/>
    </row>
    <row r="2642" spans="4:20" x14ac:dyDescent="0.35">
      <c r="D2642" s="63"/>
      <c r="S2642" s="63"/>
      <c r="T2642" s="63"/>
    </row>
    <row r="2643" spans="4:20" x14ac:dyDescent="0.35">
      <c r="D2643" s="63"/>
      <c r="S2643" s="63"/>
      <c r="T2643" s="63"/>
    </row>
    <row r="2644" spans="4:20" x14ac:dyDescent="0.35">
      <c r="D2644" s="63"/>
      <c r="S2644" s="63"/>
      <c r="T2644" s="63"/>
    </row>
    <row r="2645" spans="4:20" x14ac:dyDescent="0.35">
      <c r="D2645" s="63"/>
      <c r="S2645" s="63"/>
      <c r="T2645" s="63"/>
    </row>
    <row r="2646" spans="4:20" x14ac:dyDescent="0.35">
      <c r="D2646" s="63"/>
      <c r="S2646" s="63"/>
      <c r="T2646" s="63"/>
    </row>
    <row r="2647" spans="4:20" x14ac:dyDescent="0.35">
      <c r="D2647" s="63"/>
      <c r="S2647" s="63"/>
      <c r="T2647" s="63"/>
    </row>
    <row r="2648" spans="4:20" x14ac:dyDescent="0.35">
      <c r="D2648" s="63"/>
      <c r="S2648" s="63"/>
      <c r="T2648" s="63"/>
    </row>
    <row r="2649" spans="4:20" x14ac:dyDescent="0.35">
      <c r="D2649" s="63"/>
      <c r="S2649" s="63"/>
      <c r="T2649" s="63"/>
    </row>
    <row r="2650" spans="4:20" x14ac:dyDescent="0.35">
      <c r="D2650" s="63"/>
      <c r="S2650" s="63"/>
      <c r="T2650" s="63"/>
    </row>
    <row r="2651" spans="4:20" x14ac:dyDescent="0.35">
      <c r="D2651" s="63"/>
      <c r="S2651" s="63"/>
      <c r="T2651" s="63"/>
    </row>
    <row r="2652" spans="4:20" x14ac:dyDescent="0.35">
      <c r="D2652" s="63"/>
      <c r="S2652" s="63"/>
      <c r="T2652" s="63"/>
    </row>
    <row r="2653" spans="4:20" x14ac:dyDescent="0.35">
      <c r="D2653" s="63"/>
      <c r="S2653" s="63"/>
      <c r="T2653" s="63"/>
    </row>
    <row r="2654" spans="4:20" x14ac:dyDescent="0.35">
      <c r="D2654" s="63"/>
      <c r="S2654" s="63"/>
      <c r="T2654" s="63"/>
    </row>
    <row r="2655" spans="4:20" x14ac:dyDescent="0.35">
      <c r="D2655" s="63"/>
      <c r="S2655" s="63"/>
      <c r="T2655" s="63"/>
    </row>
    <row r="2656" spans="4:20" x14ac:dyDescent="0.35">
      <c r="D2656" s="63"/>
      <c r="S2656" s="63"/>
      <c r="T2656" s="63"/>
    </row>
    <row r="2657" spans="4:20" x14ac:dyDescent="0.35">
      <c r="D2657" s="63"/>
      <c r="S2657" s="63"/>
      <c r="T2657" s="63"/>
    </row>
    <row r="2658" spans="4:20" x14ac:dyDescent="0.35">
      <c r="D2658" s="63"/>
      <c r="S2658" s="63"/>
      <c r="T2658" s="63"/>
    </row>
    <row r="2659" spans="4:20" x14ac:dyDescent="0.35">
      <c r="D2659" s="63"/>
      <c r="S2659" s="63"/>
      <c r="T2659" s="63"/>
    </row>
    <row r="2660" spans="4:20" x14ac:dyDescent="0.35">
      <c r="D2660" s="63"/>
      <c r="S2660" s="63"/>
      <c r="T2660" s="63"/>
    </row>
    <row r="2661" spans="4:20" x14ac:dyDescent="0.35">
      <c r="D2661" s="63"/>
      <c r="S2661" s="63"/>
      <c r="T2661" s="63"/>
    </row>
    <row r="2662" spans="4:20" x14ac:dyDescent="0.35">
      <c r="D2662" s="63"/>
      <c r="S2662" s="63"/>
      <c r="T2662" s="63"/>
    </row>
    <row r="2663" spans="4:20" x14ac:dyDescent="0.35">
      <c r="D2663" s="63"/>
      <c r="S2663" s="63"/>
      <c r="T2663" s="63"/>
    </row>
    <row r="2664" spans="4:20" x14ac:dyDescent="0.35">
      <c r="D2664" s="63"/>
      <c r="S2664" s="63"/>
      <c r="T2664" s="63"/>
    </row>
    <row r="2665" spans="4:20" x14ac:dyDescent="0.35">
      <c r="D2665" s="63"/>
      <c r="S2665" s="63"/>
      <c r="T2665" s="63"/>
    </row>
    <row r="2666" spans="4:20" x14ac:dyDescent="0.35">
      <c r="D2666" s="63"/>
      <c r="S2666" s="63"/>
      <c r="T2666" s="63"/>
    </row>
    <row r="2667" spans="4:20" x14ac:dyDescent="0.35">
      <c r="D2667" s="63"/>
      <c r="S2667" s="63"/>
      <c r="T2667" s="63"/>
    </row>
    <row r="2668" spans="4:20" x14ac:dyDescent="0.35">
      <c r="D2668" s="63"/>
      <c r="S2668" s="63"/>
      <c r="T2668" s="63"/>
    </row>
    <row r="2669" spans="4:20" x14ac:dyDescent="0.35">
      <c r="D2669" s="63"/>
      <c r="S2669" s="63"/>
      <c r="T2669" s="63"/>
    </row>
    <row r="2670" spans="4:20" x14ac:dyDescent="0.35">
      <c r="D2670" s="63"/>
      <c r="S2670" s="63"/>
      <c r="T2670" s="63"/>
    </row>
    <row r="2671" spans="4:20" x14ac:dyDescent="0.35">
      <c r="D2671" s="63"/>
      <c r="S2671" s="63"/>
      <c r="T2671" s="63"/>
    </row>
    <row r="2672" spans="4:20" x14ac:dyDescent="0.35">
      <c r="D2672" s="63"/>
      <c r="S2672" s="63"/>
      <c r="T2672" s="63"/>
    </row>
    <row r="2673" spans="4:20" x14ac:dyDescent="0.35">
      <c r="D2673" s="63"/>
      <c r="S2673" s="63"/>
      <c r="T2673" s="63"/>
    </row>
    <row r="2674" spans="4:20" x14ac:dyDescent="0.35">
      <c r="D2674" s="63"/>
      <c r="S2674" s="63"/>
      <c r="T2674" s="63"/>
    </row>
    <row r="2675" spans="4:20" x14ac:dyDescent="0.35">
      <c r="D2675" s="63"/>
      <c r="S2675" s="63"/>
      <c r="T2675" s="63"/>
    </row>
    <row r="2676" spans="4:20" x14ac:dyDescent="0.35">
      <c r="D2676" s="63"/>
      <c r="S2676" s="63"/>
      <c r="T2676" s="63"/>
    </row>
    <row r="2677" spans="4:20" x14ac:dyDescent="0.35">
      <c r="D2677" s="63"/>
      <c r="S2677" s="63"/>
      <c r="T2677" s="63"/>
    </row>
    <row r="2678" spans="4:20" x14ac:dyDescent="0.35">
      <c r="D2678" s="63"/>
      <c r="S2678" s="63"/>
      <c r="T2678" s="63"/>
    </row>
    <row r="2679" spans="4:20" x14ac:dyDescent="0.35">
      <c r="D2679" s="63"/>
      <c r="S2679" s="63"/>
      <c r="T2679" s="63"/>
    </row>
    <row r="2680" spans="4:20" x14ac:dyDescent="0.35">
      <c r="D2680" s="63"/>
      <c r="S2680" s="63"/>
      <c r="T2680" s="63"/>
    </row>
    <row r="2681" spans="4:20" x14ac:dyDescent="0.35">
      <c r="D2681" s="63"/>
      <c r="S2681" s="63"/>
      <c r="T2681" s="63"/>
    </row>
    <row r="2682" spans="4:20" x14ac:dyDescent="0.35">
      <c r="D2682" s="63"/>
      <c r="S2682" s="63"/>
      <c r="T2682" s="63"/>
    </row>
    <row r="2683" spans="4:20" x14ac:dyDescent="0.35">
      <c r="D2683" s="63"/>
      <c r="S2683" s="63"/>
      <c r="T2683" s="63"/>
    </row>
    <row r="2684" spans="4:20" x14ac:dyDescent="0.35">
      <c r="D2684" s="63"/>
      <c r="S2684" s="63"/>
      <c r="T2684" s="63"/>
    </row>
    <row r="2685" spans="4:20" x14ac:dyDescent="0.35">
      <c r="D2685" s="63"/>
      <c r="S2685" s="63"/>
      <c r="T2685" s="63"/>
    </row>
    <row r="2686" spans="4:20" x14ac:dyDescent="0.35">
      <c r="D2686" s="63"/>
      <c r="S2686" s="63"/>
      <c r="T2686" s="63"/>
    </row>
    <row r="2687" spans="4:20" x14ac:dyDescent="0.35">
      <c r="D2687" s="63"/>
      <c r="S2687" s="63"/>
      <c r="T2687" s="63"/>
    </row>
    <row r="2688" spans="4:20" x14ac:dyDescent="0.35">
      <c r="D2688" s="63"/>
      <c r="S2688" s="63"/>
      <c r="T2688" s="63"/>
    </row>
    <row r="2689" spans="4:20" x14ac:dyDescent="0.35">
      <c r="D2689" s="63"/>
      <c r="S2689" s="63"/>
      <c r="T2689" s="63"/>
    </row>
    <row r="2690" spans="4:20" x14ac:dyDescent="0.35">
      <c r="D2690" s="63"/>
      <c r="S2690" s="63"/>
      <c r="T2690" s="63"/>
    </row>
    <row r="2691" spans="4:20" x14ac:dyDescent="0.35">
      <c r="D2691" s="63"/>
      <c r="S2691" s="63"/>
      <c r="T2691" s="63"/>
    </row>
    <row r="2692" spans="4:20" x14ac:dyDescent="0.35">
      <c r="D2692" s="63"/>
      <c r="S2692" s="63"/>
      <c r="T2692" s="63"/>
    </row>
    <row r="2693" spans="4:20" x14ac:dyDescent="0.35">
      <c r="D2693" s="63"/>
      <c r="S2693" s="63"/>
      <c r="T2693" s="63"/>
    </row>
    <row r="2694" spans="4:20" x14ac:dyDescent="0.35">
      <c r="D2694" s="63"/>
      <c r="S2694" s="63"/>
      <c r="T2694" s="63"/>
    </row>
    <row r="2695" spans="4:20" x14ac:dyDescent="0.35">
      <c r="D2695" s="63"/>
      <c r="S2695" s="63"/>
      <c r="T2695" s="63"/>
    </row>
    <row r="2696" spans="4:20" x14ac:dyDescent="0.35">
      <c r="D2696" s="63"/>
      <c r="S2696" s="63"/>
      <c r="T2696" s="63"/>
    </row>
    <row r="2697" spans="4:20" x14ac:dyDescent="0.35">
      <c r="D2697" s="63"/>
      <c r="S2697" s="63"/>
      <c r="T2697" s="63"/>
    </row>
    <row r="2698" spans="4:20" x14ac:dyDescent="0.35">
      <c r="D2698" s="63"/>
      <c r="S2698" s="63"/>
      <c r="T2698" s="63"/>
    </row>
    <row r="2699" spans="4:20" x14ac:dyDescent="0.35">
      <c r="D2699" s="63"/>
      <c r="S2699" s="63"/>
      <c r="T2699" s="63"/>
    </row>
    <row r="2700" spans="4:20" x14ac:dyDescent="0.35">
      <c r="D2700" s="63"/>
      <c r="S2700" s="63"/>
      <c r="T2700" s="63"/>
    </row>
    <row r="2701" spans="4:20" x14ac:dyDescent="0.35">
      <c r="D2701" s="63"/>
      <c r="S2701" s="63"/>
      <c r="T2701" s="63"/>
    </row>
    <row r="2702" spans="4:20" x14ac:dyDescent="0.35">
      <c r="D2702" s="63"/>
      <c r="S2702" s="63"/>
      <c r="T2702" s="63"/>
    </row>
    <row r="2703" spans="4:20" x14ac:dyDescent="0.35">
      <c r="D2703" s="63"/>
      <c r="S2703" s="63"/>
      <c r="T2703" s="63"/>
    </row>
    <row r="2704" spans="4:20" x14ac:dyDescent="0.35">
      <c r="D2704" s="63"/>
      <c r="S2704" s="63"/>
      <c r="T2704" s="63"/>
    </row>
    <row r="2705" spans="4:20" x14ac:dyDescent="0.35">
      <c r="D2705" s="63"/>
      <c r="S2705" s="63"/>
      <c r="T2705" s="63"/>
    </row>
    <row r="2706" spans="4:20" x14ac:dyDescent="0.35">
      <c r="D2706" s="63"/>
      <c r="S2706" s="63"/>
      <c r="T2706" s="63"/>
    </row>
    <row r="2707" spans="4:20" x14ac:dyDescent="0.35">
      <c r="D2707" s="63"/>
      <c r="S2707" s="63"/>
      <c r="T2707" s="63"/>
    </row>
    <row r="2708" spans="4:20" x14ac:dyDescent="0.35">
      <c r="D2708" s="63"/>
      <c r="S2708" s="63"/>
      <c r="T2708" s="63"/>
    </row>
    <row r="2709" spans="4:20" x14ac:dyDescent="0.35">
      <c r="D2709" s="63"/>
      <c r="S2709" s="63"/>
      <c r="T2709" s="63"/>
    </row>
    <row r="2710" spans="4:20" x14ac:dyDescent="0.35">
      <c r="D2710" s="63"/>
      <c r="S2710" s="63"/>
      <c r="T2710" s="63"/>
    </row>
    <row r="2711" spans="4:20" x14ac:dyDescent="0.35">
      <c r="D2711" s="63"/>
      <c r="S2711" s="63"/>
      <c r="T2711" s="63"/>
    </row>
    <row r="2712" spans="4:20" x14ac:dyDescent="0.35">
      <c r="D2712" s="63"/>
      <c r="S2712" s="63"/>
      <c r="T2712" s="63"/>
    </row>
    <row r="2713" spans="4:20" x14ac:dyDescent="0.35">
      <c r="D2713" s="63"/>
      <c r="S2713" s="63"/>
      <c r="T2713" s="63"/>
    </row>
    <row r="2714" spans="4:20" x14ac:dyDescent="0.35">
      <c r="D2714" s="63"/>
      <c r="S2714" s="63"/>
      <c r="T2714" s="63"/>
    </row>
    <row r="2715" spans="4:20" x14ac:dyDescent="0.35">
      <c r="D2715" s="63"/>
      <c r="S2715" s="63"/>
      <c r="T2715" s="63"/>
    </row>
    <row r="2716" spans="4:20" x14ac:dyDescent="0.35">
      <c r="D2716" s="63"/>
      <c r="S2716" s="63"/>
      <c r="T2716" s="63"/>
    </row>
    <row r="2717" spans="4:20" x14ac:dyDescent="0.35">
      <c r="D2717" s="63"/>
      <c r="S2717" s="63"/>
      <c r="T2717" s="63"/>
    </row>
    <row r="2718" spans="4:20" x14ac:dyDescent="0.35">
      <c r="D2718" s="63"/>
      <c r="S2718" s="63"/>
      <c r="T2718" s="63"/>
    </row>
    <row r="2719" spans="4:20" x14ac:dyDescent="0.35">
      <c r="D2719" s="63"/>
      <c r="S2719" s="63"/>
      <c r="T2719" s="63"/>
    </row>
    <row r="2720" spans="4:20" x14ac:dyDescent="0.35">
      <c r="D2720" s="63"/>
      <c r="S2720" s="63"/>
      <c r="T2720" s="63"/>
    </row>
    <row r="2721" spans="4:20" x14ac:dyDescent="0.35">
      <c r="D2721" s="63"/>
      <c r="S2721" s="63"/>
      <c r="T2721" s="63"/>
    </row>
    <row r="2722" spans="4:20" x14ac:dyDescent="0.35">
      <c r="D2722" s="63"/>
      <c r="S2722" s="63"/>
      <c r="T2722" s="63"/>
    </row>
    <row r="2723" spans="4:20" x14ac:dyDescent="0.35">
      <c r="D2723" s="63"/>
      <c r="S2723" s="63"/>
      <c r="T2723" s="63"/>
    </row>
    <row r="2724" spans="4:20" x14ac:dyDescent="0.35">
      <c r="D2724" s="63"/>
      <c r="S2724" s="63"/>
      <c r="T2724" s="63"/>
    </row>
    <row r="2725" spans="4:20" x14ac:dyDescent="0.35">
      <c r="D2725" s="63"/>
      <c r="S2725" s="63"/>
      <c r="T2725" s="63"/>
    </row>
    <row r="2726" spans="4:20" x14ac:dyDescent="0.35">
      <c r="D2726" s="63"/>
      <c r="S2726" s="63"/>
      <c r="T2726" s="63"/>
    </row>
    <row r="2727" spans="4:20" x14ac:dyDescent="0.35">
      <c r="D2727" s="63"/>
      <c r="S2727" s="63"/>
      <c r="T2727" s="63"/>
    </row>
    <row r="2728" spans="4:20" x14ac:dyDescent="0.35">
      <c r="D2728" s="63"/>
      <c r="S2728" s="63"/>
      <c r="T2728" s="63"/>
    </row>
    <row r="2729" spans="4:20" x14ac:dyDescent="0.35">
      <c r="D2729" s="63"/>
      <c r="S2729" s="63"/>
      <c r="T2729" s="63"/>
    </row>
    <row r="2730" spans="4:20" x14ac:dyDescent="0.35">
      <c r="D2730" s="63"/>
      <c r="S2730" s="63"/>
      <c r="T2730" s="63"/>
    </row>
    <row r="2731" spans="4:20" x14ac:dyDescent="0.35">
      <c r="D2731" s="63"/>
      <c r="S2731" s="63"/>
      <c r="T2731" s="63"/>
    </row>
    <row r="2732" spans="4:20" x14ac:dyDescent="0.35">
      <c r="D2732" s="63"/>
      <c r="S2732" s="63"/>
      <c r="T2732" s="63"/>
    </row>
    <row r="2733" spans="4:20" x14ac:dyDescent="0.35">
      <c r="D2733" s="63"/>
      <c r="S2733" s="63"/>
      <c r="T2733" s="63"/>
    </row>
    <row r="2734" spans="4:20" x14ac:dyDescent="0.35">
      <c r="D2734" s="63"/>
      <c r="S2734" s="63"/>
      <c r="T2734" s="63"/>
    </row>
    <row r="2735" spans="4:20" x14ac:dyDescent="0.35">
      <c r="D2735" s="63"/>
      <c r="S2735" s="63"/>
      <c r="T2735" s="63"/>
    </row>
    <row r="2736" spans="4:20" x14ac:dyDescent="0.35">
      <c r="D2736" s="63"/>
      <c r="S2736" s="63"/>
      <c r="T2736" s="63"/>
    </row>
    <row r="2737" spans="4:20" x14ac:dyDescent="0.35">
      <c r="D2737" s="63"/>
      <c r="S2737" s="63"/>
      <c r="T2737" s="63"/>
    </row>
    <row r="2738" spans="4:20" x14ac:dyDescent="0.35">
      <c r="D2738" s="63"/>
      <c r="S2738" s="63"/>
      <c r="T2738" s="63"/>
    </row>
    <row r="2739" spans="4:20" x14ac:dyDescent="0.35">
      <c r="D2739" s="63"/>
      <c r="S2739" s="63"/>
      <c r="T2739" s="63"/>
    </row>
    <row r="2740" spans="4:20" x14ac:dyDescent="0.35">
      <c r="D2740" s="63"/>
      <c r="S2740" s="63"/>
      <c r="T2740" s="63"/>
    </row>
    <row r="2741" spans="4:20" x14ac:dyDescent="0.35">
      <c r="D2741" s="63"/>
      <c r="S2741" s="63"/>
      <c r="T2741" s="63"/>
    </row>
    <row r="2742" spans="4:20" x14ac:dyDescent="0.35">
      <c r="D2742" s="63"/>
      <c r="S2742" s="63"/>
      <c r="T2742" s="63"/>
    </row>
    <row r="2743" spans="4:20" x14ac:dyDescent="0.35">
      <c r="D2743" s="63"/>
      <c r="S2743" s="63"/>
      <c r="T2743" s="63"/>
    </row>
    <row r="2744" spans="4:20" x14ac:dyDescent="0.35">
      <c r="D2744" s="63"/>
      <c r="S2744" s="63"/>
      <c r="T2744" s="63"/>
    </row>
    <row r="2745" spans="4:20" x14ac:dyDescent="0.35">
      <c r="D2745" s="63"/>
      <c r="S2745" s="63"/>
      <c r="T2745" s="63"/>
    </row>
    <row r="2746" spans="4:20" x14ac:dyDescent="0.35">
      <c r="D2746" s="63"/>
      <c r="S2746" s="63"/>
      <c r="T2746" s="63"/>
    </row>
    <row r="2747" spans="4:20" x14ac:dyDescent="0.35">
      <c r="D2747" s="63"/>
      <c r="S2747" s="63"/>
      <c r="T2747" s="63"/>
    </row>
    <row r="2748" spans="4:20" x14ac:dyDescent="0.35">
      <c r="D2748" s="63"/>
      <c r="S2748" s="63"/>
      <c r="T2748" s="63"/>
    </row>
    <row r="2749" spans="4:20" x14ac:dyDescent="0.35">
      <c r="D2749" s="63"/>
      <c r="S2749" s="63"/>
      <c r="T2749" s="63"/>
    </row>
    <row r="2750" spans="4:20" x14ac:dyDescent="0.35">
      <c r="D2750" s="63"/>
      <c r="S2750" s="63"/>
      <c r="T2750" s="63"/>
    </row>
    <row r="2751" spans="4:20" x14ac:dyDescent="0.35">
      <c r="D2751" s="63"/>
      <c r="S2751" s="63"/>
      <c r="T2751" s="63"/>
    </row>
    <row r="2752" spans="4:20" x14ac:dyDescent="0.35">
      <c r="D2752" s="63"/>
      <c r="S2752" s="63"/>
      <c r="T2752" s="63"/>
    </row>
    <row r="2753" spans="4:20" x14ac:dyDescent="0.35">
      <c r="D2753" s="63"/>
      <c r="S2753" s="63"/>
      <c r="T2753" s="63"/>
    </row>
    <row r="2754" spans="4:20" x14ac:dyDescent="0.35">
      <c r="D2754" s="63"/>
      <c r="S2754" s="63"/>
      <c r="T2754" s="63"/>
    </row>
    <row r="2755" spans="4:20" x14ac:dyDescent="0.35">
      <c r="D2755" s="63"/>
      <c r="S2755" s="63"/>
      <c r="T2755" s="63"/>
    </row>
    <row r="2756" spans="4:20" x14ac:dyDescent="0.35">
      <c r="D2756" s="63"/>
      <c r="S2756" s="63"/>
      <c r="T2756" s="63"/>
    </row>
    <row r="2757" spans="4:20" x14ac:dyDescent="0.35">
      <c r="D2757" s="63"/>
      <c r="S2757" s="63"/>
      <c r="T2757" s="63"/>
    </row>
    <row r="2758" spans="4:20" x14ac:dyDescent="0.35">
      <c r="D2758" s="63"/>
      <c r="S2758" s="63"/>
      <c r="T2758" s="63"/>
    </row>
    <row r="2759" spans="4:20" x14ac:dyDescent="0.35">
      <c r="D2759" s="63"/>
      <c r="S2759" s="63"/>
      <c r="T2759" s="63"/>
    </row>
    <row r="2760" spans="4:20" x14ac:dyDescent="0.35">
      <c r="D2760" s="63"/>
      <c r="S2760" s="63"/>
      <c r="T2760" s="63"/>
    </row>
    <row r="2761" spans="4:20" x14ac:dyDescent="0.35">
      <c r="D2761" s="63"/>
      <c r="S2761" s="63"/>
      <c r="T2761" s="63"/>
    </row>
    <row r="2762" spans="4:20" x14ac:dyDescent="0.35">
      <c r="D2762" s="63"/>
      <c r="S2762" s="63"/>
      <c r="T2762" s="63"/>
    </row>
    <row r="2763" spans="4:20" x14ac:dyDescent="0.35">
      <c r="D2763" s="63"/>
      <c r="S2763" s="63"/>
      <c r="T2763" s="63"/>
    </row>
    <row r="2764" spans="4:20" x14ac:dyDescent="0.35">
      <c r="D2764" s="63"/>
      <c r="S2764" s="63"/>
      <c r="T2764" s="63"/>
    </row>
    <row r="2765" spans="4:20" x14ac:dyDescent="0.35">
      <c r="D2765" s="63"/>
      <c r="S2765" s="63"/>
      <c r="T2765" s="63"/>
    </row>
    <row r="2766" spans="4:20" x14ac:dyDescent="0.35">
      <c r="D2766" s="63"/>
      <c r="S2766" s="63"/>
      <c r="T2766" s="63"/>
    </row>
    <row r="2767" spans="4:20" x14ac:dyDescent="0.35">
      <c r="D2767" s="63"/>
      <c r="S2767" s="63"/>
      <c r="T2767" s="63"/>
    </row>
    <row r="2768" spans="4:20" x14ac:dyDescent="0.35">
      <c r="D2768" s="63"/>
      <c r="S2768" s="63"/>
      <c r="T2768" s="63"/>
    </row>
    <row r="2769" spans="4:20" x14ac:dyDescent="0.35">
      <c r="D2769" s="63"/>
      <c r="S2769" s="63"/>
      <c r="T2769" s="63"/>
    </row>
    <row r="2770" spans="4:20" x14ac:dyDescent="0.35">
      <c r="D2770" s="63"/>
      <c r="S2770" s="63"/>
      <c r="T2770" s="63"/>
    </row>
    <row r="2771" spans="4:20" x14ac:dyDescent="0.35">
      <c r="D2771" s="63"/>
      <c r="S2771" s="63"/>
      <c r="T2771" s="63"/>
    </row>
    <row r="2772" spans="4:20" x14ac:dyDescent="0.35">
      <c r="D2772" s="63"/>
      <c r="S2772" s="63"/>
      <c r="T2772" s="63"/>
    </row>
    <row r="2773" spans="4:20" x14ac:dyDescent="0.35">
      <c r="D2773" s="63"/>
      <c r="S2773" s="63"/>
      <c r="T2773" s="63"/>
    </row>
    <row r="2774" spans="4:20" x14ac:dyDescent="0.35">
      <c r="D2774" s="63"/>
      <c r="S2774" s="63"/>
      <c r="T2774" s="63"/>
    </row>
    <row r="2775" spans="4:20" x14ac:dyDescent="0.35">
      <c r="D2775" s="63"/>
      <c r="S2775" s="63"/>
      <c r="T2775" s="63"/>
    </row>
    <row r="2776" spans="4:20" x14ac:dyDescent="0.35">
      <c r="D2776" s="63"/>
      <c r="S2776" s="63"/>
      <c r="T2776" s="63"/>
    </row>
    <row r="2777" spans="4:20" x14ac:dyDescent="0.35">
      <c r="D2777" s="63"/>
      <c r="S2777" s="63"/>
      <c r="T2777" s="63"/>
    </row>
    <row r="2778" spans="4:20" x14ac:dyDescent="0.35">
      <c r="D2778" s="63"/>
      <c r="S2778" s="63"/>
      <c r="T2778" s="63"/>
    </row>
    <row r="2779" spans="4:20" x14ac:dyDescent="0.35">
      <c r="D2779" s="63"/>
      <c r="S2779" s="63"/>
      <c r="T2779" s="63"/>
    </row>
    <row r="2780" spans="4:20" x14ac:dyDescent="0.35">
      <c r="D2780" s="63"/>
      <c r="S2780" s="63"/>
      <c r="T2780" s="63"/>
    </row>
    <row r="2781" spans="4:20" x14ac:dyDescent="0.35">
      <c r="D2781" s="63"/>
      <c r="S2781" s="63"/>
      <c r="T2781" s="63"/>
    </row>
    <row r="2782" spans="4:20" x14ac:dyDescent="0.35">
      <c r="D2782" s="63"/>
      <c r="S2782" s="63"/>
      <c r="T2782" s="63"/>
    </row>
    <row r="2783" spans="4:20" x14ac:dyDescent="0.35">
      <c r="D2783" s="63"/>
      <c r="S2783" s="63"/>
      <c r="T2783" s="63"/>
    </row>
    <row r="2784" spans="4:20" x14ac:dyDescent="0.35">
      <c r="D2784" s="63"/>
      <c r="S2784" s="63"/>
      <c r="T2784" s="63"/>
    </row>
    <row r="2785" spans="4:20" x14ac:dyDescent="0.35">
      <c r="D2785" s="63"/>
      <c r="S2785" s="63"/>
      <c r="T2785" s="63"/>
    </row>
    <row r="2786" spans="4:20" x14ac:dyDescent="0.35">
      <c r="D2786" s="63"/>
      <c r="S2786" s="63"/>
      <c r="T2786" s="63"/>
    </row>
    <row r="2787" spans="4:20" x14ac:dyDescent="0.35">
      <c r="D2787" s="63"/>
      <c r="S2787" s="63"/>
      <c r="T2787" s="63"/>
    </row>
    <row r="2788" spans="4:20" x14ac:dyDescent="0.35">
      <c r="D2788" s="63"/>
      <c r="S2788" s="63"/>
      <c r="T2788" s="63"/>
    </row>
    <row r="2789" spans="4:20" x14ac:dyDescent="0.35">
      <c r="D2789" s="63"/>
      <c r="S2789" s="63"/>
      <c r="T2789" s="63"/>
    </row>
    <row r="2790" spans="4:20" x14ac:dyDescent="0.35">
      <c r="D2790" s="63"/>
      <c r="S2790" s="63"/>
      <c r="T2790" s="63"/>
    </row>
    <row r="2791" spans="4:20" x14ac:dyDescent="0.35">
      <c r="D2791" s="63"/>
      <c r="S2791" s="63"/>
      <c r="T2791" s="63"/>
    </row>
    <row r="2792" spans="4:20" x14ac:dyDescent="0.35">
      <c r="D2792" s="63"/>
      <c r="S2792" s="63"/>
      <c r="T2792" s="63"/>
    </row>
    <row r="2793" spans="4:20" x14ac:dyDescent="0.35">
      <c r="D2793" s="63"/>
      <c r="S2793" s="63"/>
      <c r="T2793" s="63"/>
    </row>
    <row r="2794" spans="4:20" x14ac:dyDescent="0.35">
      <c r="D2794" s="63"/>
      <c r="S2794" s="63"/>
      <c r="T2794" s="63"/>
    </row>
    <row r="2795" spans="4:20" x14ac:dyDescent="0.35">
      <c r="D2795" s="63"/>
      <c r="S2795" s="63"/>
      <c r="T2795" s="63"/>
    </row>
    <row r="2796" spans="4:20" x14ac:dyDescent="0.35">
      <c r="D2796" s="63"/>
      <c r="S2796" s="63"/>
      <c r="T2796" s="63"/>
    </row>
    <row r="2797" spans="4:20" x14ac:dyDescent="0.35">
      <c r="D2797" s="63"/>
      <c r="S2797" s="63"/>
      <c r="T2797" s="63"/>
    </row>
    <row r="2798" spans="4:20" x14ac:dyDescent="0.35">
      <c r="D2798" s="63"/>
      <c r="S2798" s="63"/>
      <c r="T2798" s="63"/>
    </row>
    <row r="2799" spans="4:20" x14ac:dyDescent="0.35">
      <c r="D2799" s="63"/>
      <c r="S2799" s="63"/>
      <c r="T2799" s="63"/>
    </row>
    <row r="2800" spans="4:20" x14ac:dyDescent="0.35">
      <c r="D2800" s="63"/>
      <c r="S2800" s="63"/>
      <c r="T2800" s="63"/>
    </row>
    <row r="2801" spans="4:20" x14ac:dyDescent="0.35">
      <c r="D2801" s="63"/>
      <c r="S2801" s="63"/>
      <c r="T2801" s="63"/>
    </row>
    <row r="2802" spans="4:20" x14ac:dyDescent="0.35">
      <c r="D2802" s="63"/>
      <c r="S2802" s="63"/>
      <c r="T2802" s="63"/>
    </row>
    <row r="2803" spans="4:20" x14ac:dyDescent="0.35">
      <c r="D2803" s="63"/>
      <c r="S2803" s="63"/>
      <c r="T2803" s="63"/>
    </row>
    <row r="2804" spans="4:20" x14ac:dyDescent="0.35">
      <c r="D2804" s="63"/>
      <c r="S2804" s="63"/>
      <c r="T2804" s="63"/>
    </row>
    <row r="2805" spans="4:20" x14ac:dyDescent="0.35">
      <c r="D2805" s="63"/>
      <c r="S2805" s="63"/>
      <c r="T2805" s="63"/>
    </row>
    <row r="2806" spans="4:20" x14ac:dyDescent="0.35">
      <c r="D2806" s="63"/>
      <c r="S2806" s="63"/>
      <c r="T2806" s="63"/>
    </row>
    <row r="2807" spans="4:20" x14ac:dyDescent="0.35">
      <c r="D2807" s="63"/>
      <c r="S2807" s="63"/>
      <c r="T2807" s="63"/>
    </row>
    <row r="2808" spans="4:20" x14ac:dyDescent="0.35">
      <c r="D2808" s="63"/>
      <c r="S2808" s="63"/>
      <c r="T2808" s="63"/>
    </row>
    <row r="2809" spans="4:20" x14ac:dyDescent="0.35">
      <c r="D2809" s="63"/>
      <c r="S2809" s="63"/>
      <c r="T2809" s="63"/>
    </row>
    <row r="2810" spans="4:20" x14ac:dyDescent="0.35">
      <c r="D2810" s="63"/>
      <c r="S2810" s="63"/>
      <c r="T2810" s="63"/>
    </row>
    <row r="2811" spans="4:20" x14ac:dyDescent="0.35">
      <c r="D2811" s="63"/>
      <c r="S2811" s="63"/>
      <c r="T2811" s="63"/>
    </row>
    <row r="2812" spans="4:20" x14ac:dyDescent="0.35">
      <c r="D2812" s="63"/>
      <c r="S2812" s="63"/>
      <c r="T2812" s="63"/>
    </row>
    <row r="2813" spans="4:20" x14ac:dyDescent="0.35">
      <c r="D2813" s="63"/>
      <c r="S2813" s="63"/>
      <c r="T2813" s="63"/>
    </row>
    <row r="2814" spans="4:20" x14ac:dyDescent="0.35">
      <c r="D2814" s="63"/>
      <c r="S2814" s="63"/>
      <c r="T2814" s="63"/>
    </row>
    <row r="2815" spans="4:20" x14ac:dyDescent="0.35">
      <c r="D2815" s="63"/>
      <c r="S2815" s="63"/>
      <c r="T2815" s="63"/>
    </row>
    <row r="2816" spans="4:20" x14ac:dyDescent="0.35">
      <c r="D2816" s="63"/>
      <c r="S2816" s="63"/>
      <c r="T2816" s="63"/>
    </row>
    <row r="2817" spans="4:20" x14ac:dyDescent="0.35">
      <c r="D2817" s="63"/>
      <c r="S2817" s="63"/>
      <c r="T2817" s="63"/>
    </row>
    <row r="2818" spans="4:20" x14ac:dyDescent="0.35">
      <c r="D2818" s="63"/>
      <c r="S2818" s="63"/>
      <c r="T2818" s="63"/>
    </row>
    <row r="2819" spans="4:20" x14ac:dyDescent="0.35">
      <c r="D2819" s="63"/>
      <c r="S2819" s="63"/>
      <c r="T2819" s="63"/>
    </row>
    <row r="2820" spans="4:20" x14ac:dyDescent="0.35">
      <c r="D2820" s="63"/>
      <c r="S2820" s="63"/>
      <c r="T2820" s="63"/>
    </row>
    <row r="2821" spans="4:20" x14ac:dyDescent="0.35">
      <c r="D2821" s="63"/>
      <c r="S2821" s="63"/>
      <c r="T2821" s="63"/>
    </row>
    <row r="2822" spans="4:20" x14ac:dyDescent="0.35">
      <c r="D2822" s="63"/>
      <c r="S2822" s="63"/>
      <c r="T2822" s="63"/>
    </row>
    <row r="2823" spans="4:20" x14ac:dyDescent="0.35">
      <c r="D2823" s="63"/>
      <c r="S2823" s="63"/>
      <c r="T2823" s="63"/>
    </row>
    <row r="2824" spans="4:20" x14ac:dyDescent="0.35">
      <c r="D2824" s="63"/>
      <c r="S2824" s="63"/>
      <c r="T2824" s="63"/>
    </row>
    <row r="2825" spans="4:20" x14ac:dyDescent="0.35">
      <c r="D2825" s="63"/>
      <c r="S2825" s="63"/>
      <c r="T2825" s="63"/>
    </row>
    <row r="2826" spans="4:20" x14ac:dyDescent="0.35">
      <c r="D2826" s="63"/>
      <c r="S2826" s="63"/>
      <c r="T2826" s="63"/>
    </row>
    <row r="2827" spans="4:20" x14ac:dyDescent="0.35">
      <c r="D2827" s="63"/>
      <c r="S2827" s="63"/>
      <c r="T2827" s="63"/>
    </row>
    <row r="2828" spans="4:20" x14ac:dyDescent="0.35">
      <c r="D2828" s="63"/>
      <c r="S2828" s="63"/>
      <c r="T2828" s="63"/>
    </row>
    <row r="2829" spans="4:20" x14ac:dyDescent="0.35">
      <c r="D2829" s="63"/>
      <c r="S2829" s="63"/>
      <c r="T2829" s="63"/>
    </row>
    <row r="2830" spans="4:20" x14ac:dyDescent="0.35">
      <c r="D2830" s="63"/>
      <c r="S2830" s="63"/>
      <c r="T2830" s="63"/>
    </row>
    <row r="2831" spans="4:20" x14ac:dyDescent="0.35">
      <c r="D2831" s="63"/>
      <c r="S2831" s="63"/>
      <c r="T2831" s="63"/>
    </row>
    <row r="2832" spans="4:20" x14ac:dyDescent="0.35">
      <c r="D2832" s="63"/>
      <c r="S2832" s="63"/>
      <c r="T2832" s="63"/>
    </row>
    <row r="2833" spans="4:20" x14ac:dyDescent="0.35">
      <c r="D2833" s="63"/>
      <c r="S2833" s="63"/>
      <c r="T2833" s="63"/>
    </row>
    <row r="2834" spans="4:20" x14ac:dyDescent="0.35">
      <c r="D2834" s="63"/>
      <c r="S2834" s="63"/>
      <c r="T2834" s="63"/>
    </row>
    <row r="2835" spans="4:20" x14ac:dyDescent="0.35">
      <c r="D2835" s="63"/>
      <c r="S2835" s="63"/>
      <c r="T2835" s="63"/>
    </row>
    <row r="2836" spans="4:20" x14ac:dyDescent="0.35">
      <c r="D2836" s="63"/>
      <c r="S2836" s="63"/>
      <c r="T2836" s="63"/>
    </row>
    <row r="2837" spans="4:20" x14ac:dyDescent="0.35">
      <c r="D2837" s="63"/>
      <c r="S2837" s="63"/>
      <c r="T2837" s="63"/>
    </row>
    <row r="2838" spans="4:20" x14ac:dyDescent="0.35">
      <c r="D2838" s="63"/>
      <c r="S2838" s="63"/>
      <c r="T2838" s="63"/>
    </row>
    <row r="2839" spans="4:20" x14ac:dyDescent="0.35">
      <c r="D2839" s="63"/>
      <c r="S2839" s="63"/>
      <c r="T2839" s="63"/>
    </row>
    <row r="2840" spans="4:20" x14ac:dyDescent="0.35">
      <c r="D2840" s="63"/>
      <c r="S2840" s="63"/>
      <c r="T2840" s="63"/>
    </row>
    <row r="2841" spans="4:20" x14ac:dyDescent="0.35">
      <c r="D2841" s="63"/>
      <c r="S2841" s="63"/>
      <c r="T2841" s="63"/>
    </row>
    <row r="2842" spans="4:20" x14ac:dyDescent="0.35">
      <c r="D2842" s="63"/>
      <c r="S2842" s="63"/>
      <c r="T2842" s="63"/>
    </row>
    <row r="2843" spans="4:20" x14ac:dyDescent="0.35">
      <c r="D2843" s="63"/>
      <c r="S2843" s="63"/>
      <c r="T2843" s="63"/>
    </row>
    <row r="2844" spans="4:20" x14ac:dyDescent="0.35">
      <c r="D2844" s="63"/>
      <c r="S2844" s="63"/>
      <c r="T2844" s="63"/>
    </row>
    <row r="2845" spans="4:20" x14ac:dyDescent="0.35">
      <c r="D2845" s="63"/>
      <c r="S2845" s="63"/>
      <c r="T2845" s="63"/>
    </row>
    <row r="2846" spans="4:20" x14ac:dyDescent="0.35">
      <c r="D2846" s="63"/>
      <c r="S2846" s="63"/>
      <c r="T2846" s="63"/>
    </row>
    <row r="2847" spans="4:20" x14ac:dyDescent="0.35">
      <c r="D2847" s="63"/>
      <c r="S2847" s="63"/>
      <c r="T2847" s="63"/>
    </row>
    <row r="2848" spans="4:20" x14ac:dyDescent="0.35">
      <c r="D2848" s="63"/>
      <c r="S2848" s="63"/>
      <c r="T2848" s="63"/>
    </row>
    <row r="2849" spans="4:20" x14ac:dyDescent="0.35">
      <c r="D2849" s="63"/>
      <c r="S2849" s="63"/>
      <c r="T2849" s="63"/>
    </row>
    <row r="2850" spans="4:20" x14ac:dyDescent="0.35">
      <c r="D2850" s="63"/>
      <c r="S2850" s="63"/>
      <c r="T2850" s="63"/>
    </row>
    <row r="2851" spans="4:20" x14ac:dyDescent="0.35">
      <c r="D2851" s="63"/>
      <c r="S2851" s="63"/>
      <c r="T2851" s="63"/>
    </row>
    <row r="2852" spans="4:20" x14ac:dyDescent="0.35">
      <c r="D2852" s="63"/>
      <c r="S2852" s="63"/>
      <c r="T2852" s="63"/>
    </row>
    <row r="2853" spans="4:20" x14ac:dyDescent="0.35">
      <c r="D2853" s="63"/>
      <c r="S2853" s="63"/>
      <c r="T2853" s="63"/>
    </row>
    <row r="2854" spans="4:20" x14ac:dyDescent="0.35">
      <c r="D2854" s="63"/>
      <c r="S2854" s="63"/>
      <c r="T2854" s="63"/>
    </row>
    <row r="2855" spans="4:20" x14ac:dyDescent="0.35">
      <c r="D2855" s="63"/>
      <c r="S2855" s="63"/>
      <c r="T2855" s="63"/>
    </row>
    <row r="2856" spans="4:20" x14ac:dyDescent="0.35">
      <c r="D2856" s="63"/>
      <c r="S2856" s="63"/>
      <c r="T2856" s="63"/>
    </row>
    <row r="2857" spans="4:20" x14ac:dyDescent="0.35">
      <c r="D2857" s="63"/>
      <c r="S2857" s="63"/>
      <c r="T2857" s="63"/>
    </row>
    <row r="2858" spans="4:20" x14ac:dyDescent="0.35">
      <c r="D2858" s="63"/>
      <c r="S2858" s="63"/>
      <c r="T2858" s="63"/>
    </row>
    <row r="2859" spans="4:20" x14ac:dyDescent="0.35">
      <c r="D2859" s="63"/>
      <c r="S2859" s="63"/>
      <c r="T2859" s="63"/>
    </row>
    <row r="2860" spans="4:20" x14ac:dyDescent="0.35">
      <c r="D2860" s="63"/>
      <c r="S2860" s="63"/>
      <c r="T2860" s="63"/>
    </row>
    <row r="2861" spans="4:20" x14ac:dyDescent="0.35">
      <c r="D2861" s="63"/>
      <c r="S2861" s="63"/>
      <c r="T2861" s="63"/>
    </row>
    <row r="2862" spans="4:20" x14ac:dyDescent="0.35">
      <c r="D2862" s="63"/>
      <c r="S2862" s="63"/>
      <c r="T2862" s="63"/>
    </row>
    <row r="2863" spans="4:20" x14ac:dyDescent="0.35">
      <c r="D2863" s="63"/>
      <c r="S2863" s="63"/>
      <c r="T2863" s="63"/>
    </row>
    <row r="2864" spans="4:20" x14ac:dyDescent="0.35">
      <c r="D2864" s="63"/>
      <c r="S2864" s="63"/>
      <c r="T2864" s="63"/>
    </row>
    <row r="2865" spans="4:20" x14ac:dyDescent="0.35">
      <c r="D2865" s="63"/>
      <c r="S2865" s="63"/>
      <c r="T2865" s="63"/>
    </row>
    <row r="2866" spans="4:20" x14ac:dyDescent="0.35">
      <c r="D2866" s="63"/>
      <c r="S2866" s="63"/>
      <c r="T2866" s="63"/>
    </row>
    <row r="2867" spans="4:20" x14ac:dyDescent="0.35">
      <c r="D2867" s="63"/>
      <c r="S2867" s="63"/>
      <c r="T2867" s="63"/>
    </row>
    <row r="2868" spans="4:20" x14ac:dyDescent="0.35">
      <c r="D2868" s="63"/>
      <c r="S2868" s="63"/>
      <c r="T2868" s="63"/>
    </row>
    <row r="2869" spans="4:20" x14ac:dyDescent="0.35">
      <c r="D2869" s="63"/>
      <c r="S2869" s="63"/>
      <c r="T2869" s="63"/>
    </row>
    <row r="2870" spans="4:20" x14ac:dyDescent="0.35">
      <c r="D2870" s="63"/>
      <c r="S2870" s="63"/>
      <c r="T2870" s="63"/>
    </row>
    <row r="2871" spans="4:20" x14ac:dyDescent="0.35">
      <c r="D2871" s="63"/>
      <c r="S2871" s="63"/>
      <c r="T2871" s="63"/>
    </row>
    <row r="2872" spans="4:20" x14ac:dyDescent="0.35">
      <c r="D2872" s="63"/>
      <c r="S2872" s="63"/>
      <c r="T2872" s="63"/>
    </row>
    <row r="2873" spans="4:20" x14ac:dyDescent="0.35">
      <c r="D2873" s="63"/>
      <c r="S2873" s="63"/>
      <c r="T2873" s="63"/>
    </row>
    <row r="2874" spans="4:20" x14ac:dyDescent="0.35">
      <c r="D2874" s="63"/>
      <c r="S2874" s="63"/>
      <c r="T2874" s="63"/>
    </row>
    <row r="2875" spans="4:20" x14ac:dyDescent="0.35">
      <c r="D2875" s="63"/>
      <c r="S2875" s="63"/>
      <c r="T2875" s="63"/>
    </row>
    <row r="2876" spans="4:20" x14ac:dyDescent="0.35">
      <c r="D2876" s="63"/>
      <c r="S2876" s="63"/>
      <c r="T2876" s="63"/>
    </row>
    <row r="2877" spans="4:20" x14ac:dyDescent="0.35">
      <c r="D2877" s="63"/>
      <c r="S2877" s="63"/>
      <c r="T2877" s="63"/>
    </row>
    <row r="2878" spans="4:20" x14ac:dyDescent="0.35">
      <c r="D2878" s="63"/>
      <c r="S2878" s="63"/>
      <c r="T2878" s="63"/>
    </row>
    <row r="2879" spans="4:20" x14ac:dyDescent="0.35">
      <c r="D2879" s="63"/>
      <c r="S2879" s="63"/>
      <c r="T2879" s="63"/>
    </row>
    <row r="2880" spans="4:20" x14ac:dyDescent="0.35">
      <c r="D2880" s="63"/>
      <c r="S2880" s="63"/>
      <c r="T2880" s="63"/>
    </row>
    <row r="2881" spans="4:20" x14ac:dyDescent="0.35">
      <c r="D2881" s="63"/>
      <c r="S2881" s="63"/>
      <c r="T2881" s="63"/>
    </row>
    <row r="2882" spans="4:20" x14ac:dyDescent="0.35">
      <c r="D2882" s="63"/>
      <c r="S2882" s="63"/>
      <c r="T2882" s="63"/>
    </row>
    <row r="2883" spans="4:20" x14ac:dyDescent="0.35">
      <c r="D2883" s="63"/>
      <c r="S2883" s="63"/>
      <c r="T2883" s="63"/>
    </row>
    <row r="2884" spans="4:20" x14ac:dyDescent="0.35">
      <c r="D2884" s="63"/>
      <c r="S2884" s="63"/>
      <c r="T2884" s="63"/>
    </row>
    <row r="2885" spans="4:20" x14ac:dyDescent="0.35">
      <c r="D2885" s="63"/>
      <c r="S2885" s="63"/>
      <c r="T2885" s="63"/>
    </row>
    <row r="2886" spans="4:20" x14ac:dyDescent="0.35">
      <c r="D2886" s="63"/>
      <c r="S2886" s="63"/>
      <c r="T2886" s="63"/>
    </row>
    <row r="2887" spans="4:20" x14ac:dyDescent="0.35">
      <c r="D2887" s="63"/>
      <c r="S2887" s="63"/>
      <c r="T2887" s="63"/>
    </row>
    <row r="2888" spans="4:20" x14ac:dyDescent="0.35">
      <c r="D2888" s="63"/>
      <c r="S2888" s="63"/>
      <c r="T2888" s="63"/>
    </row>
    <row r="2889" spans="4:20" x14ac:dyDescent="0.35">
      <c r="D2889" s="63"/>
      <c r="S2889" s="63"/>
      <c r="T2889" s="63"/>
    </row>
    <row r="2890" spans="4:20" x14ac:dyDescent="0.35">
      <c r="D2890" s="63"/>
      <c r="S2890" s="63"/>
      <c r="T2890" s="63"/>
    </row>
    <row r="2891" spans="4:20" x14ac:dyDescent="0.35">
      <c r="D2891" s="63"/>
      <c r="S2891" s="63"/>
      <c r="T2891" s="63"/>
    </row>
    <row r="2892" spans="4:20" x14ac:dyDescent="0.35">
      <c r="D2892" s="63"/>
      <c r="S2892" s="63"/>
      <c r="T2892" s="63"/>
    </row>
    <row r="2893" spans="4:20" x14ac:dyDescent="0.35">
      <c r="D2893" s="63"/>
      <c r="S2893" s="63"/>
      <c r="T2893" s="63"/>
    </row>
    <row r="2894" spans="4:20" x14ac:dyDescent="0.35">
      <c r="D2894" s="63"/>
      <c r="S2894" s="63"/>
      <c r="T2894" s="63"/>
    </row>
    <row r="2895" spans="4:20" x14ac:dyDescent="0.35">
      <c r="D2895" s="63"/>
      <c r="S2895" s="63"/>
      <c r="T2895" s="63"/>
    </row>
    <row r="2896" spans="4:20" x14ac:dyDescent="0.35">
      <c r="D2896" s="63"/>
      <c r="S2896" s="63"/>
      <c r="T2896" s="63"/>
    </row>
    <row r="2897" spans="4:20" x14ac:dyDescent="0.35">
      <c r="D2897" s="63"/>
      <c r="S2897" s="63"/>
      <c r="T2897" s="63"/>
    </row>
    <row r="2898" spans="4:20" x14ac:dyDescent="0.35">
      <c r="D2898" s="63"/>
      <c r="S2898" s="63"/>
      <c r="T2898" s="63"/>
    </row>
    <row r="2899" spans="4:20" x14ac:dyDescent="0.35">
      <c r="D2899" s="63"/>
      <c r="S2899" s="63"/>
      <c r="T2899" s="63"/>
    </row>
    <row r="2900" spans="4:20" x14ac:dyDescent="0.35">
      <c r="D2900" s="63"/>
      <c r="S2900" s="63"/>
      <c r="T2900" s="63"/>
    </row>
    <row r="2901" spans="4:20" x14ac:dyDescent="0.35">
      <c r="D2901" s="63"/>
      <c r="S2901" s="63"/>
      <c r="T2901" s="63"/>
    </row>
    <row r="2902" spans="4:20" x14ac:dyDescent="0.35">
      <c r="D2902" s="63"/>
      <c r="S2902" s="63"/>
      <c r="T2902" s="63"/>
    </row>
    <row r="2903" spans="4:20" x14ac:dyDescent="0.35">
      <c r="D2903" s="63"/>
      <c r="S2903" s="63"/>
      <c r="T2903" s="63"/>
    </row>
    <row r="2904" spans="4:20" x14ac:dyDescent="0.35">
      <c r="D2904" s="63"/>
      <c r="S2904" s="63"/>
      <c r="T2904" s="63"/>
    </row>
    <row r="2905" spans="4:20" x14ac:dyDescent="0.35">
      <c r="D2905" s="63"/>
      <c r="S2905" s="63"/>
      <c r="T2905" s="63"/>
    </row>
    <row r="2906" spans="4:20" x14ac:dyDescent="0.35">
      <c r="D2906" s="63"/>
      <c r="S2906" s="63"/>
      <c r="T2906" s="63"/>
    </row>
    <row r="2907" spans="4:20" x14ac:dyDescent="0.35">
      <c r="D2907" s="63"/>
      <c r="S2907" s="63"/>
      <c r="T2907" s="63"/>
    </row>
    <row r="2908" spans="4:20" x14ac:dyDescent="0.35">
      <c r="D2908" s="63"/>
      <c r="S2908" s="63"/>
      <c r="T2908" s="63"/>
    </row>
    <row r="2909" spans="4:20" x14ac:dyDescent="0.35">
      <c r="D2909" s="63"/>
      <c r="S2909" s="63"/>
      <c r="T2909" s="63"/>
    </row>
    <row r="2910" spans="4:20" x14ac:dyDescent="0.35">
      <c r="D2910" s="63"/>
      <c r="S2910" s="63"/>
      <c r="T2910" s="63"/>
    </row>
    <row r="2911" spans="4:20" x14ac:dyDescent="0.35">
      <c r="D2911" s="63"/>
      <c r="S2911" s="63"/>
      <c r="T2911" s="63"/>
    </row>
    <row r="2912" spans="4:20" x14ac:dyDescent="0.35">
      <c r="D2912" s="63"/>
      <c r="S2912" s="63"/>
      <c r="T2912" s="63"/>
    </row>
    <row r="2913" spans="4:20" x14ac:dyDescent="0.35">
      <c r="D2913" s="63"/>
      <c r="S2913" s="63"/>
      <c r="T2913" s="63"/>
    </row>
    <row r="2914" spans="4:20" x14ac:dyDescent="0.35">
      <c r="D2914" s="63"/>
      <c r="S2914" s="63"/>
      <c r="T2914" s="63"/>
    </row>
    <row r="2915" spans="4:20" x14ac:dyDescent="0.35">
      <c r="D2915" s="63"/>
      <c r="S2915" s="63"/>
      <c r="T2915" s="63"/>
    </row>
    <row r="2916" spans="4:20" x14ac:dyDescent="0.35">
      <c r="D2916" s="63"/>
      <c r="S2916" s="63"/>
      <c r="T2916" s="63"/>
    </row>
    <row r="2917" spans="4:20" x14ac:dyDescent="0.35">
      <c r="D2917" s="63"/>
      <c r="S2917" s="63"/>
      <c r="T2917" s="63"/>
    </row>
    <row r="2918" spans="4:20" x14ac:dyDescent="0.35">
      <c r="D2918" s="63"/>
      <c r="S2918" s="63"/>
      <c r="T2918" s="63"/>
    </row>
    <row r="2919" spans="4:20" x14ac:dyDescent="0.35">
      <c r="D2919" s="63"/>
      <c r="S2919" s="63"/>
      <c r="T2919" s="63"/>
    </row>
    <row r="2920" spans="4:20" x14ac:dyDescent="0.35">
      <c r="D2920" s="63"/>
      <c r="S2920" s="63"/>
      <c r="T2920" s="63"/>
    </row>
    <row r="2921" spans="4:20" x14ac:dyDescent="0.35">
      <c r="D2921" s="63"/>
      <c r="S2921" s="63"/>
      <c r="T2921" s="63"/>
    </row>
    <row r="2922" spans="4:20" x14ac:dyDescent="0.35">
      <c r="D2922" s="63"/>
      <c r="S2922" s="63"/>
      <c r="T2922" s="63"/>
    </row>
    <row r="2923" spans="4:20" x14ac:dyDescent="0.35">
      <c r="D2923" s="63"/>
      <c r="S2923" s="63"/>
      <c r="T2923" s="63"/>
    </row>
    <row r="2924" spans="4:20" x14ac:dyDescent="0.35">
      <c r="D2924" s="63"/>
      <c r="S2924" s="63"/>
      <c r="T2924" s="63"/>
    </row>
    <row r="2925" spans="4:20" x14ac:dyDescent="0.35">
      <c r="D2925" s="63"/>
      <c r="S2925" s="63"/>
      <c r="T2925" s="63"/>
    </row>
    <row r="2926" spans="4:20" x14ac:dyDescent="0.35">
      <c r="D2926" s="63"/>
      <c r="S2926" s="63"/>
      <c r="T2926" s="63"/>
    </row>
    <row r="2927" spans="4:20" x14ac:dyDescent="0.35">
      <c r="D2927" s="63"/>
      <c r="S2927" s="63"/>
      <c r="T2927" s="63"/>
    </row>
    <row r="2928" spans="4:20" x14ac:dyDescent="0.35">
      <c r="D2928" s="63"/>
      <c r="S2928" s="63"/>
      <c r="T2928" s="63"/>
    </row>
    <row r="2929" spans="4:20" x14ac:dyDescent="0.35">
      <c r="D2929" s="63"/>
      <c r="S2929" s="63"/>
      <c r="T2929" s="63"/>
    </row>
    <row r="2930" spans="4:20" x14ac:dyDescent="0.35">
      <c r="D2930" s="63"/>
      <c r="S2930" s="63"/>
      <c r="T2930" s="63"/>
    </row>
    <row r="2931" spans="4:20" x14ac:dyDescent="0.35">
      <c r="D2931" s="63"/>
      <c r="S2931" s="63"/>
      <c r="T2931" s="63"/>
    </row>
    <row r="2932" spans="4:20" x14ac:dyDescent="0.35">
      <c r="D2932" s="63"/>
      <c r="S2932" s="63"/>
      <c r="T2932" s="63"/>
    </row>
    <row r="2933" spans="4:20" x14ac:dyDescent="0.35">
      <c r="D2933" s="63"/>
      <c r="S2933" s="63"/>
      <c r="T2933" s="63"/>
    </row>
    <row r="2934" spans="4:20" x14ac:dyDescent="0.35">
      <c r="D2934" s="63"/>
      <c r="S2934" s="63"/>
      <c r="T2934" s="63"/>
    </row>
    <row r="2935" spans="4:20" x14ac:dyDescent="0.35">
      <c r="D2935" s="63"/>
      <c r="S2935" s="63"/>
      <c r="T2935" s="63"/>
    </row>
    <row r="2936" spans="4:20" x14ac:dyDescent="0.35">
      <c r="D2936" s="63"/>
      <c r="S2936" s="63"/>
      <c r="T2936" s="63"/>
    </row>
    <row r="2937" spans="4:20" x14ac:dyDescent="0.35">
      <c r="D2937" s="63"/>
      <c r="S2937" s="63"/>
      <c r="T2937" s="63"/>
    </row>
    <row r="2938" spans="4:20" x14ac:dyDescent="0.35">
      <c r="D2938" s="63"/>
      <c r="S2938" s="63"/>
      <c r="T2938" s="63"/>
    </row>
    <row r="2939" spans="4:20" x14ac:dyDescent="0.35">
      <c r="D2939" s="63"/>
      <c r="S2939" s="63"/>
      <c r="T2939" s="63"/>
    </row>
    <row r="2940" spans="4:20" x14ac:dyDescent="0.35">
      <c r="D2940" s="63"/>
      <c r="S2940" s="63"/>
      <c r="T2940" s="63"/>
    </row>
    <row r="2941" spans="4:20" x14ac:dyDescent="0.35">
      <c r="D2941" s="63"/>
      <c r="S2941" s="63"/>
      <c r="T2941" s="63"/>
    </row>
    <row r="2942" spans="4:20" x14ac:dyDescent="0.35">
      <c r="D2942" s="63"/>
      <c r="S2942" s="63"/>
      <c r="T2942" s="63"/>
    </row>
    <row r="2943" spans="4:20" x14ac:dyDescent="0.35">
      <c r="D2943" s="63"/>
      <c r="S2943" s="63"/>
      <c r="T2943" s="63"/>
    </row>
    <row r="2944" spans="4:20" x14ac:dyDescent="0.35">
      <c r="D2944" s="63"/>
      <c r="S2944" s="63"/>
      <c r="T2944" s="63"/>
    </row>
    <row r="2945" spans="4:20" x14ac:dyDescent="0.35">
      <c r="D2945" s="63"/>
      <c r="S2945" s="63"/>
      <c r="T2945" s="63"/>
    </row>
    <row r="2946" spans="4:20" x14ac:dyDescent="0.35">
      <c r="D2946" s="63"/>
      <c r="S2946" s="63"/>
      <c r="T2946" s="63"/>
    </row>
    <row r="2947" spans="4:20" x14ac:dyDescent="0.35">
      <c r="D2947" s="63"/>
      <c r="S2947" s="63"/>
      <c r="T2947" s="63"/>
    </row>
    <row r="2948" spans="4:20" x14ac:dyDescent="0.35">
      <c r="D2948" s="63"/>
      <c r="S2948" s="63"/>
      <c r="T2948" s="63"/>
    </row>
    <row r="2949" spans="4:20" x14ac:dyDescent="0.35">
      <c r="D2949" s="63"/>
      <c r="S2949" s="63"/>
      <c r="T2949" s="63"/>
    </row>
    <row r="2950" spans="4:20" x14ac:dyDescent="0.35">
      <c r="D2950" s="63"/>
      <c r="S2950" s="63"/>
      <c r="T2950" s="63"/>
    </row>
    <row r="2951" spans="4:20" x14ac:dyDescent="0.35">
      <c r="D2951" s="63"/>
      <c r="S2951" s="63"/>
      <c r="T2951" s="63"/>
    </row>
    <row r="2952" spans="4:20" x14ac:dyDescent="0.35">
      <c r="D2952" s="63"/>
      <c r="S2952" s="63"/>
      <c r="T2952" s="63"/>
    </row>
    <row r="2953" spans="4:20" x14ac:dyDescent="0.35">
      <c r="D2953" s="63"/>
      <c r="S2953" s="63"/>
      <c r="T2953" s="63"/>
    </row>
    <row r="2954" spans="4:20" x14ac:dyDescent="0.35">
      <c r="D2954" s="63"/>
      <c r="S2954" s="63"/>
      <c r="T2954" s="63"/>
    </row>
    <row r="2955" spans="4:20" x14ac:dyDescent="0.35">
      <c r="D2955" s="63"/>
      <c r="S2955" s="63"/>
      <c r="T2955" s="63"/>
    </row>
    <row r="2956" spans="4:20" x14ac:dyDescent="0.35">
      <c r="D2956" s="63"/>
      <c r="S2956" s="63"/>
      <c r="T2956" s="63"/>
    </row>
    <row r="2957" spans="4:20" x14ac:dyDescent="0.35">
      <c r="D2957" s="63"/>
      <c r="S2957" s="63"/>
      <c r="T2957" s="63"/>
    </row>
    <row r="2958" spans="4:20" x14ac:dyDescent="0.35">
      <c r="D2958" s="63"/>
      <c r="S2958" s="63"/>
      <c r="T2958" s="63"/>
    </row>
    <row r="2959" spans="4:20" x14ac:dyDescent="0.35">
      <c r="D2959" s="63"/>
      <c r="S2959" s="63"/>
      <c r="T2959" s="63"/>
    </row>
    <row r="2960" spans="4:20" x14ac:dyDescent="0.35">
      <c r="D2960" s="63"/>
      <c r="S2960" s="63"/>
      <c r="T2960" s="63"/>
    </row>
    <row r="2961" spans="4:20" x14ac:dyDescent="0.35">
      <c r="D2961" s="63"/>
      <c r="S2961" s="63"/>
      <c r="T2961" s="63"/>
    </row>
    <row r="2962" spans="4:20" x14ac:dyDescent="0.35">
      <c r="D2962" s="63"/>
      <c r="S2962" s="63"/>
      <c r="T2962" s="63"/>
    </row>
    <row r="2963" spans="4:20" x14ac:dyDescent="0.35">
      <c r="D2963" s="63"/>
      <c r="S2963" s="63"/>
      <c r="T2963" s="63"/>
    </row>
    <row r="2964" spans="4:20" x14ac:dyDescent="0.35">
      <c r="D2964" s="63"/>
      <c r="S2964" s="63"/>
      <c r="T2964" s="63"/>
    </row>
    <row r="2965" spans="4:20" x14ac:dyDescent="0.35">
      <c r="D2965" s="63"/>
      <c r="S2965" s="63"/>
      <c r="T2965" s="63"/>
    </row>
    <row r="2966" spans="4:20" x14ac:dyDescent="0.35">
      <c r="D2966" s="63"/>
      <c r="S2966" s="63"/>
      <c r="T2966" s="63"/>
    </row>
    <row r="2967" spans="4:20" x14ac:dyDescent="0.35">
      <c r="D2967" s="63"/>
      <c r="S2967" s="63"/>
      <c r="T2967" s="63"/>
    </row>
    <row r="2968" spans="4:20" x14ac:dyDescent="0.35">
      <c r="D2968" s="63"/>
      <c r="S2968" s="63"/>
      <c r="T2968" s="63"/>
    </row>
    <row r="2969" spans="4:20" x14ac:dyDescent="0.35">
      <c r="D2969" s="63"/>
      <c r="S2969" s="63"/>
      <c r="T2969" s="63"/>
    </row>
    <row r="2970" spans="4:20" x14ac:dyDescent="0.35">
      <c r="D2970" s="63"/>
      <c r="S2970" s="63"/>
      <c r="T2970" s="63"/>
    </row>
    <row r="2971" spans="4:20" x14ac:dyDescent="0.35">
      <c r="D2971" s="63"/>
      <c r="S2971" s="63"/>
      <c r="T2971" s="63"/>
    </row>
    <row r="2972" spans="4:20" x14ac:dyDescent="0.35">
      <c r="D2972" s="63"/>
      <c r="S2972" s="63"/>
      <c r="T2972" s="63"/>
    </row>
    <row r="2973" spans="4:20" x14ac:dyDescent="0.35">
      <c r="D2973" s="63"/>
      <c r="S2973" s="63"/>
      <c r="T2973" s="63"/>
    </row>
    <row r="2974" spans="4:20" x14ac:dyDescent="0.35">
      <c r="D2974" s="63"/>
      <c r="S2974" s="63"/>
      <c r="T2974" s="63"/>
    </row>
    <row r="2975" spans="4:20" x14ac:dyDescent="0.35">
      <c r="D2975" s="63"/>
      <c r="S2975" s="63"/>
      <c r="T2975" s="63"/>
    </row>
    <row r="2976" spans="4:20" x14ac:dyDescent="0.35">
      <c r="D2976" s="63"/>
      <c r="S2976" s="63"/>
      <c r="T2976" s="63"/>
    </row>
    <row r="2977" spans="4:20" x14ac:dyDescent="0.35">
      <c r="D2977" s="63"/>
      <c r="S2977" s="63"/>
      <c r="T2977" s="63"/>
    </row>
    <row r="2978" spans="4:20" x14ac:dyDescent="0.35">
      <c r="D2978" s="63"/>
      <c r="S2978" s="63"/>
      <c r="T2978" s="63"/>
    </row>
    <row r="2979" spans="4:20" x14ac:dyDescent="0.35">
      <c r="D2979" s="63"/>
      <c r="S2979" s="63"/>
      <c r="T2979" s="63"/>
    </row>
    <row r="2980" spans="4:20" x14ac:dyDescent="0.35">
      <c r="D2980" s="63"/>
      <c r="S2980" s="63"/>
      <c r="T2980" s="63"/>
    </row>
    <row r="2981" spans="4:20" x14ac:dyDescent="0.35">
      <c r="D2981" s="63"/>
      <c r="S2981" s="63"/>
      <c r="T2981" s="63"/>
    </row>
    <row r="2982" spans="4:20" x14ac:dyDescent="0.35">
      <c r="D2982" s="63"/>
      <c r="S2982" s="63"/>
      <c r="T2982" s="63"/>
    </row>
    <row r="2983" spans="4:20" x14ac:dyDescent="0.35">
      <c r="D2983" s="63"/>
      <c r="S2983" s="63"/>
      <c r="T2983" s="63"/>
    </row>
    <row r="2984" spans="4:20" x14ac:dyDescent="0.35">
      <c r="D2984" s="63"/>
      <c r="S2984" s="63"/>
      <c r="T2984" s="63"/>
    </row>
    <row r="2985" spans="4:20" x14ac:dyDescent="0.35">
      <c r="D2985" s="63"/>
      <c r="S2985" s="63"/>
      <c r="T2985" s="63"/>
    </row>
    <row r="2986" spans="4:20" x14ac:dyDescent="0.35">
      <c r="D2986" s="63"/>
      <c r="S2986" s="63"/>
      <c r="T2986" s="63"/>
    </row>
    <row r="2987" spans="4:20" x14ac:dyDescent="0.35">
      <c r="D2987" s="63"/>
      <c r="S2987" s="63"/>
      <c r="T2987" s="63"/>
    </row>
    <row r="2988" spans="4:20" x14ac:dyDescent="0.35">
      <c r="D2988" s="63"/>
      <c r="S2988" s="63"/>
      <c r="T2988" s="63"/>
    </row>
    <row r="2989" spans="4:20" x14ac:dyDescent="0.35">
      <c r="D2989" s="63"/>
      <c r="S2989" s="63"/>
      <c r="T2989" s="63"/>
    </row>
    <row r="2990" spans="4:20" x14ac:dyDescent="0.35">
      <c r="D2990" s="63"/>
      <c r="S2990" s="63"/>
      <c r="T2990" s="63"/>
    </row>
    <row r="2991" spans="4:20" x14ac:dyDescent="0.35">
      <c r="D2991" s="63"/>
      <c r="S2991" s="63"/>
      <c r="T2991" s="63"/>
    </row>
    <row r="2992" spans="4:20" x14ac:dyDescent="0.35">
      <c r="D2992" s="63"/>
      <c r="S2992" s="63"/>
      <c r="T2992" s="63"/>
    </row>
    <row r="2993" spans="4:20" x14ac:dyDescent="0.35">
      <c r="D2993" s="63"/>
      <c r="S2993" s="63"/>
      <c r="T2993" s="63"/>
    </row>
    <row r="2994" spans="4:20" x14ac:dyDescent="0.35">
      <c r="D2994" s="63"/>
      <c r="S2994" s="63"/>
      <c r="T2994" s="63"/>
    </row>
    <row r="2995" spans="4:20" x14ac:dyDescent="0.35">
      <c r="D2995" s="63"/>
      <c r="S2995" s="63"/>
      <c r="T2995" s="63"/>
    </row>
    <row r="2996" spans="4:20" x14ac:dyDescent="0.35">
      <c r="D2996" s="63"/>
      <c r="S2996" s="63"/>
      <c r="T2996" s="63"/>
    </row>
    <row r="2997" spans="4:20" x14ac:dyDescent="0.35">
      <c r="D2997" s="63"/>
      <c r="S2997" s="63"/>
      <c r="T2997" s="63"/>
    </row>
    <row r="2998" spans="4:20" x14ac:dyDescent="0.35">
      <c r="D2998" s="63"/>
      <c r="S2998" s="63"/>
      <c r="T2998" s="63"/>
    </row>
    <row r="2999" spans="4:20" x14ac:dyDescent="0.35">
      <c r="D2999" s="63"/>
      <c r="S2999" s="63"/>
      <c r="T2999" s="63"/>
    </row>
    <row r="3000" spans="4:20" x14ac:dyDescent="0.35">
      <c r="D3000" s="63"/>
      <c r="S3000" s="63"/>
      <c r="T3000" s="63"/>
    </row>
    <row r="3001" spans="4:20" x14ac:dyDescent="0.35">
      <c r="D3001" s="63"/>
      <c r="S3001" s="63"/>
      <c r="T3001" s="63"/>
    </row>
    <row r="3002" spans="4:20" x14ac:dyDescent="0.35">
      <c r="D3002" s="63"/>
      <c r="S3002" s="63"/>
      <c r="T3002" s="63"/>
    </row>
    <row r="3003" spans="4:20" x14ac:dyDescent="0.35">
      <c r="D3003" s="63"/>
      <c r="S3003" s="63"/>
      <c r="T3003" s="63"/>
    </row>
    <row r="3004" spans="4:20" x14ac:dyDescent="0.35">
      <c r="D3004" s="63"/>
      <c r="S3004" s="63"/>
      <c r="T3004" s="63"/>
    </row>
    <row r="3005" spans="4:20" x14ac:dyDescent="0.35">
      <c r="D3005" s="63"/>
      <c r="S3005" s="63"/>
      <c r="T3005" s="63"/>
    </row>
    <row r="3006" spans="4:20" x14ac:dyDescent="0.35">
      <c r="D3006" s="63"/>
      <c r="S3006" s="63"/>
      <c r="T3006" s="63"/>
    </row>
    <row r="3007" spans="4:20" x14ac:dyDescent="0.35">
      <c r="D3007" s="63"/>
      <c r="S3007" s="63"/>
      <c r="T3007" s="63"/>
    </row>
    <row r="3008" spans="4:20" x14ac:dyDescent="0.35">
      <c r="D3008" s="63"/>
      <c r="S3008" s="63"/>
      <c r="T3008" s="63"/>
    </row>
    <row r="3009" spans="4:20" x14ac:dyDescent="0.35">
      <c r="D3009" s="63"/>
      <c r="S3009" s="63"/>
      <c r="T3009" s="63"/>
    </row>
    <row r="3010" spans="4:20" x14ac:dyDescent="0.35">
      <c r="D3010" s="63"/>
      <c r="S3010" s="63"/>
      <c r="T3010" s="63"/>
    </row>
    <row r="3011" spans="4:20" x14ac:dyDescent="0.35">
      <c r="D3011" s="63"/>
      <c r="S3011" s="63"/>
      <c r="T3011" s="63"/>
    </row>
    <row r="3012" spans="4:20" x14ac:dyDescent="0.35">
      <c r="D3012" s="63"/>
      <c r="S3012" s="63"/>
      <c r="T3012" s="63"/>
    </row>
    <row r="3013" spans="4:20" x14ac:dyDescent="0.35">
      <c r="D3013" s="63"/>
      <c r="S3013" s="63"/>
      <c r="T3013" s="63"/>
    </row>
    <row r="3014" spans="4:20" x14ac:dyDescent="0.35">
      <c r="D3014" s="63"/>
      <c r="S3014" s="63"/>
      <c r="T3014" s="63"/>
    </row>
    <row r="3015" spans="4:20" x14ac:dyDescent="0.35">
      <c r="D3015" s="63"/>
      <c r="S3015" s="63"/>
      <c r="T3015" s="63"/>
    </row>
    <row r="3016" spans="4:20" x14ac:dyDescent="0.35">
      <c r="D3016" s="63"/>
      <c r="S3016" s="63"/>
      <c r="T3016" s="63"/>
    </row>
    <row r="3017" spans="4:20" x14ac:dyDescent="0.35">
      <c r="D3017" s="63"/>
      <c r="S3017" s="63"/>
      <c r="T3017" s="63"/>
    </row>
    <row r="3018" spans="4:20" x14ac:dyDescent="0.35">
      <c r="D3018" s="63"/>
      <c r="S3018" s="63"/>
      <c r="T3018" s="63"/>
    </row>
    <row r="3019" spans="4:20" x14ac:dyDescent="0.35">
      <c r="D3019" s="63"/>
      <c r="S3019" s="63"/>
      <c r="T3019" s="63"/>
    </row>
    <row r="3020" spans="4:20" x14ac:dyDescent="0.35">
      <c r="D3020" s="63"/>
      <c r="S3020" s="63"/>
      <c r="T3020" s="63"/>
    </row>
    <row r="3021" spans="4:20" x14ac:dyDescent="0.35">
      <c r="D3021" s="63"/>
      <c r="S3021" s="63"/>
      <c r="T3021" s="63"/>
    </row>
    <row r="3022" spans="4:20" x14ac:dyDescent="0.35">
      <c r="D3022" s="63"/>
      <c r="S3022" s="63"/>
      <c r="T3022" s="63"/>
    </row>
    <row r="3023" spans="4:20" x14ac:dyDescent="0.35">
      <c r="D3023" s="63"/>
      <c r="S3023" s="63"/>
      <c r="T3023" s="63"/>
    </row>
    <row r="3024" spans="4:20" x14ac:dyDescent="0.35">
      <c r="D3024" s="63"/>
      <c r="S3024" s="63"/>
      <c r="T3024" s="63"/>
    </row>
    <row r="3025" spans="4:20" x14ac:dyDescent="0.35">
      <c r="D3025" s="63"/>
      <c r="S3025" s="63"/>
      <c r="T3025" s="63"/>
    </row>
    <row r="3026" spans="4:20" x14ac:dyDescent="0.35">
      <c r="D3026" s="63"/>
      <c r="S3026" s="63"/>
      <c r="T3026" s="63"/>
    </row>
    <row r="3027" spans="4:20" x14ac:dyDescent="0.35">
      <c r="D3027" s="63"/>
      <c r="S3027" s="63"/>
      <c r="T3027" s="63"/>
    </row>
    <row r="3028" spans="4:20" x14ac:dyDescent="0.35">
      <c r="D3028" s="63"/>
      <c r="S3028" s="63"/>
      <c r="T3028" s="63"/>
    </row>
    <row r="3029" spans="4:20" x14ac:dyDescent="0.35">
      <c r="D3029" s="63"/>
      <c r="S3029" s="63"/>
      <c r="T3029" s="63"/>
    </row>
    <row r="3030" spans="4:20" x14ac:dyDescent="0.35">
      <c r="D3030" s="63"/>
      <c r="S3030" s="63"/>
      <c r="T3030" s="63"/>
    </row>
    <row r="3031" spans="4:20" x14ac:dyDescent="0.35">
      <c r="D3031" s="63"/>
      <c r="S3031" s="63"/>
      <c r="T3031" s="63"/>
    </row>
    <row r="3032" spans="4:20" x14ac:dyDescent="0.35">
      <c r="D3032" s="63"/>
      <c r="S3032" s="63"/>
      <c r="T3032" s="63"/>
    </row>
    <row r="3033" spans="4:20" x14ac:dyDescent="0.35">
      <c r="D3033" s="63"/>
      <c r="S3033" s="63"/>
      <c r="T3033" s="63"/>
    </row>
    <row r="3034" spans="4:20" x14ac:dyDescent="0.35">
      <c r="D3034" s="63"/>
      <c r="S3034" s="63"/>
      <c r="T3034" s="63"/>
    </row>
    <row r="3035" spans="4:20" x14ac:dyDescent="0.35">
      <c r="D3035" s="63"/>
      <c r="S3035" s="63"/>
      <c r="T3035" s="63"/>
    </row>
    <row r="3036" spans="4:20" x14ac:dyDescent="0.35">
      <c r="D3036" s="63"/>
      <c r="S3036" s="63"/>
      <c r="T3036" s="63"/>
    </row>
    <row r="3037" spans="4:20" x14ac:dyDescent="0.35">
      <c r="D3037" s="63"/>
      <c r="S3037" s="63"/>
      <c r="T3037" s="63"/>
    </row>
    <row r="3038" spans="4:20" x14ac:dyDescent="0.35">
      <c r="D3038" s="63"/>
      <c r="S3038" s="63"/>
      <c r="T3038" s="63"/>
    </row>
    <row r="3039" spans="4:20" x14ac:dyDescent="0.35">
      <c r="D3039" s="63"/>
      <c r="S3039" s="63"/>
      <c r="T3039" s="63"/>
    </row>
    <row r="3040" spans="4:20" x14ac:dyDescent="0.35">
      <c r="D3040" s="63"/>
      <c r="S3040" s="63"/>
      <c r="T3040" s="63"/>
    </row>
    <row r="3041" spans="4:20" x14ac:dyDescent="0.35">
      <c r="D3041" s="63"/>
      <c r="S3041" s="63"/>
      <c r="T3041" s="63"/>
    </row>
    <row r="3042" spans="4:20" x14ac:dyDescent="0.35">
      <c r="D3042" s="63"/>
      <c r="S3042" s="63"/>
      <c r="T3042" s="63"/>
    </row>
    <row r="3043" spans="4:20" x14ac:dyDescent="0.35">
      <c r="D3043" s="63"/>
      <c r="S3043" s="63"/>
      <c r="T3043" s="63"/>
    </row>
    <row r="3044" spans="4:20" x14ac:dyDescent="0.35">
      <c r="D3044" s="63"/>
      <c r="S3044" s="63"/>
      <c r="T3044" s="63"/>
    </row>
    <row r="3045" spans="4:20" x14ac:dyDescent="0.35">
      <c r="D3045" s="63"/>
      <c r="S3045" s="63"/>
      <c r="T3045" s="63"/>
    </row>
    <row r="3046" spans="4:20" x14ac:dyDescent="0.35">
      <c r="D3046" s="63"/>
      <c r="S3046" s="63"/>
      <c r="T3046" s="63"/>
    </row>
    <row r="3047" spans="4:20" x14ac:dyDescent="0.35">
      <c r="D3047" s="63"/>
      <c r="S3047" s="63"/>
      <c r="T3047" s="63"/>
    </row>
    <row r="3048" spans="4:20" x14ac:dyDescent="0.35">
      <c r="D3048" s="63"/>
      <c r="S3048" s="63"/>
      <c r="T3048" s="63"/>
    </row>
    <row r="3049" spans="4:20" x14ac:dyDescent="0.35">
      <c r="D3049" s="63"/>
      <c r="S3049" s="63"/>
      <c r="T3049" s="63"/>
    </row>
    <row r="3050" spans="4:20" x14ac:dyDescent="0.35">
      <c r="D3050" s="63"/>
      <c r="S3050" s="63"/>
      <c r="T3050" s="63"/>
    </row>
    <row r="3051" spans="4:20" x14ac:dyDescent="0.35">
      <c r="D3051" s="63"/>
      <c r="S3051" s="63"/>
      <c r="T3051" s="63"/>
    </row>
    <row r="3052" spans="4:20" x14ac:dyDescent="0.35">
      <c r="D3052" s="63"/>
      <c r="S3052" s="63"/>
      <c r="T3052" s="63"/>
    </row>
    <row r="3053" spans="4:20" x14ac:dyDescent="0.35">
      <c r="D3053" s="63"/>
      <c r="S3053" s="63"/>
      <c r="T3053" s="63"/>
    </row>
    <row r="3054" spans="4:20" x14ac:dyDescent="0.35">
      <c r="D3054" s="63"/>
      <c r="S3054" s="63"/>
      <c r="T3054" s="63"/>
    </row>
    <row r="3055" spans="4:20" x14ac:dyDescent="0.35">
      <c r="D3055" s="63"/>
      <c r="S3055" s="63"/>
      <c r="T3055" s="63"/>
    </row>
    <row r="3056" spans="4:20" x14ac:dyDescent="0.35">
      <c r="D3056" s="63"/>
      <c r="S3056" s="63"/>
      <c r="T3056" s="63"/>
    </row>
    <row r="3057" spans="4:20" x14ac:dyDescent="0.35">
      <c r="D3057" s="63"/>
      <c r="S3057" s="63"/>
      <c r="T3057" s="63"/>
    </row>
    <row r="3058" spans="4:20" x14ac:dyDescent="0.35">
      <c r="D3058" s="63"/>
      <c r="S3058" s="63"/>
      <c r="T3058" s="63"/>
    </row>
    <row r="3059" spans="4:20" x14ac:dyDescent="0.35">
      <c r="D3059" s="63"/>
      <c r="S3059" s="63"/>
      <c r="T3059" s="63"/>
    </row>
    <row r="3060" spans="4:20" x14ac:dyDescent="0.35">
      <c r="D3060" s="63"/>
      <c r="S3060" s="63"/>
      <c r="T3060" s="63"/>
    </row>
    <row r="3061" spans="4:20" x14ac:dyDescent="0.35">
      <c r="D3061" s="63"/>
      <c r="S3061" s="63"/>
      <c r="T3061" s="63"/>
    </row>
    <row r="3062" spans="4:20" x14ac:dyDescent="0.35">
      <c r="D3062" s="63"/>
      <c r="S3062" s="63"/>
      <c r="T3062" s="63"/>
    </row>
    <row r="3063" spans="4:20" x14ac:dyDescent="0.35">
      <c r="D3063" s="63"/>
      <c r="S3063" s="63"/>
      <c r="T3063" s="63"/>
    </row>
    <row r="3064" spans="4:20" x14ac:dyDescent="0.35">
      <c r="D3064" s="63"/>
      <c r="S3064" s="63"/>
      <c r="T3064" s="63"/>
    </row>
    <row r="3065" spans="4:20" x14ac:dyDescent="0.35">
      <c r="D3065" s="63"/>
      <c r="S3065" s="63"/>
      <c r="T3065" s="63"/>
    </row>
    <row r="3066" spans="4:20" x14ac:dyDescent="0.35">
      <c r="D3066" s="63"/>
      <c r="S3066" s="63"/>
      <c r="T3066" s="63"/>
    </row>
    <row r="3067" spans="4:20" x14ac:dyDescent="0.35">
      <c r="D3067" s="63"/>
      <c r="S3067" s="63"/>
      <c r="T3067" s="63"/>
    </row>
    <row r="3068" spans="4:20" x14ac:dyDescent="0.35">
      <c r="D3068" s="63"/>
      <c r="S3068" s="63"/>
      <c r="T3068" s="63"/>
    </row>
    <row r="3069" spans="4:20" x14ac:dyDescent="0.35">
      <c r="D3069" s="63"/>
      <c r="S3069" s="63"/>
      <c r="T3069" s="63"/>
    </row>
    <row r="3070" spans="4:20" x14ac:dyDescent="0.35">
      <c r="D3070" s="63"/>
      <c r="S3070" s="63"/>
      <c r="T3070" s="63"/>
    </row>
    <row r="3071" spans="4:20" x14ac:dyDescent="0.35">
      <c r="D3071" s="63"/>
      <c r="S3071" s="63"/>
      <c r="T3071" s="63"/>
    </row>
    <row r="3072" spans="4:20" x14ac:dyDescent="0.35">
      <c r="D3072" s="63"/>
      <c r="S3072" s="63"/>
      <c r="T3072" s="63"/>
    </row>
    <row r="3073" spans="4:20" x14ac:dyDescent="0.35">
      <c r="D3073" s="63"/>
      <c r="S3073" s="63"/>
      <c r="T3073" s="63"/>
    </row>
    <row r="3074" spans="4:20" x14ac:dyDescent="0.35">
      <c r="D3074" s="63"/>
      <c r="S3074" s="63"/>
      <c r="T3074" s="63"/>
    </row>
    <row r="3075" spans="4:20" x14ac:dyDescent="0.35">
      <c r="D3075" s="63"/>
      <c r="S3075" s="63"/>
      <c r="T3075" s="63"/>
    </row>
    <row r="3076" spans="4:20" x14ac:dyDescent="0.35">
      <c r="D3076" s="63"/>
      <c r="S3076" s="63"/>
      <c r="T3076" s="63"/>
    </row>
    <row r="3077" spans="4:20" x14ac:dyDescent="0.35">
      <c r="D3077" s="63"/>
      <c r="S3077" s="63"/>
      <c r="T3077" s="63"/>
    </row>
    <row r="3078" spans="4:20" x14ac:dyDescent="0.35">
      <c r="D3078" s="63"/>
      <c r="S3078" s="63"/>
      <c r="T3078" s="63"/>
    </row>
    <row r="3079" spans="4:20" x14ac:dyDescent="0.35">
      <c r="D3079" s="63"/>
      <c r="S3079" s="63"/>
      <c r="T3079" s="63"/>
    </row>
    <row r="3080" spans="4:20" x14ac:dyDescent="0.35">
      <c r="D3080" s="63"/>
      <c r="S3080" s="63"/>
      <c r="T3080" s="63"/>
    </row>
    <row r="3081" spans="4:20" x14ac:dyDescent="0.35">
      <c r="D3081" s="63"/>
      <c r="S3081" s="63"/>
      <c r="T3081" s="63"/>
    </row>
    <row r="3082" spans="4:20" x14ac:dyDescent="0.35">
      <c r="D3082" s="63"/>
      <c r="S3082" s="63"/>
      <c r="T3082" s="63"/>
    </row>
    <row r="3083" spans="4:20" x14ac:dyDescent="0.35">
      <c r="D3083" s="63"/>
      <c r="S3083" s="63"/>
      <c r="T3083" s="63"/>
    </row>
    <row r="3084" spans="4:20" x14ac:dyDescent="0.35">
      <c r="D3084" s="63"/>
      <c r="S3084" s="63"/>
      <c r="T3084" s="63"/>
    </row>
    <row r="3085" spans="4:20" x14ac:dyDescent="0.35">
      <c r="D3085" s="63"/>
      <c r="S3085" s="63"/>
      <c r="T3085" s="63"/>
    </row>
    <row r="3086" spans="4:20" x14ac:dyDescent="0.35">
      <c r="D3086" s="63"/>
      <c r="S3086" s="63"/>
      <c r="T3086" s="63"/>
    </row>
    <row r="3087" spans="4:20" x14ac:dyDescent="0.35">
      <c r="D3087" s="63"/>
      <c r="S3087" s="63"/>
      <c r="T3087" s="63"/>
    </row>
    <row r="3088" spans="4:20" x14ac:dyDescent="0.35">
      <c r="D3088" s="63"/>
      <c r="S3088" s="63"/>
      <c r="T3088" s="63"/>
    </row>
    <row r="3089" spans="4:20" x14ac:dyDescent="0.35">
      <c r="D3089" s="63"/>
      <c r="S3089" s="63"/>
      <c r="T3089" s="63"/>
    </row>
    <row r="3090" spans="4:20" x14ac:dyDescent="0.35">
      <c r="D3090" s="63"/>
      <c r="S3090" s="63"/>
      <c r="T3090" s="63"/>
    </row>
    <row r="3091" spans="4:20" x14ac:dyDescent="0.35">
      <c r="D3091" s="63"/>
      <c r="S3091" s="63"/>
      <c r="T3091" s="63"/>
    </row>
    <row r="3092" spans="4:20" x14ac:dyDescent="0.35">
      <c r="D3092" s="63"/>
      <c r="S3092" s="63"/>
      <c r="T3092" s="63"/>
    </row>
    <row r="3093" spans="4:20" x14ac:dyDescent="0.35">
      <c r="D3093" s="63"/>
      <c r="S3093" s="63"/>
      <c r="T3093" s="63"/>
    </row>
    <row r="3094" spans="4:20" x14ac:dyDescent="0.35">
      <c r="D3094" s="63"/>
      <c r="S3094" s="63"/>
      <c r="T3094" s="63"/>
    </row>
    <row r="3095" spans="4:20" x14ac:dyDescent="0.35">
      <c r="D3095" s="63"/>
      <c r="S3095" s="63"/>
      <c r="T3095" s="63"/>
    </row>
    <row r="3096" spans="4:20" x14ac:dyDescent="0.35">
      <c r="D3096" s="63"/>
      <c r="S3096" s="63"/>
      <c r="T3096" s="63"/>
    </row>
    <row r="3097" spans="4:20" x14ac:dyDescent="0.35">
      <c r="D3097" s="63"/>
      <c r="S3097" s="63"/>
      <c r="T3097" s="63"/>
    </row>
    <row r="3098" spans="4:20" x14ac:dyDescent="0.35">
      <c r="D3098" s="63"/>
      <c r="S3098" s="63"/>
      <c r="T3098" s="63"/>
    </row>
    <row r="3099" spans="4:20" x14ac:dyDescent="0.35">
      <c r="D3099" s="63"/>
      <c r="S3099" s="63"/>
      <c r="T3099" s="63"/>
    </row>
    <row r="3100" spans="4:20" x14ac:dyDescent="0.35">
      <c r="D3100" s="63"/>
      <c r="S3100" s="63"/>
      <c r="T3100" s="63"/>
    </row>
    <row r="3101" spans="4:20" x14ac:dyDescent="0.35">
      <c r="D3101" s="63"/>
      <c r="S3101" s="63"/>
      <c r="T3101" s="63"/>
    </row>
    <row r="3102" spans="4:20" x14ac:dyDescent="0.35">
      <c r="D3102" s="63"/>
      <c r="S3102" s="63"/>
      <c r="T3102" s="63"/>
    </row>
    <row r="3103" spans="4:20" x14ac:dyDescent="0.35">
      <c r="D3103" s="63"/>
      <c r="S3103" s="63"/>
      <c r="T3103" s="63"/>
    </row>
    <row r="3104" spans="4:20" x14ac:dyDescent="0.35">
      <c r="D3104" s="63"/>
      <c r="S3104" s="63"/>
      <c r="T3104" s="63"/>
    </row>
    <row r="3105" spans="4:20" x14ac:dyDescent="0.35">
      <c r="D3105" s="63"/>
      <c r="S3105" s="63"/>
      <c r="T3105" s="63"/>
    </row>
    <row r="3106" spans="4:20" x14ac:dyDescent="0.35">
      <c r="D3106" s="63"/>
      <c r="S3106" s="63"/>
      <c r="T3106" s="63"/>
    </row>
    <row r="3107" spans="4:20" x14ac:dyDescent="0.35">
      <c r="D3107" s="63"/>
      <c r="S3107" s="63"/>
      <c r="T3107" s="63"/>
    </row>
    <row r="3108" spans="4:20" x14ac:dyDescent="0.35">
      <c r="D3108" s="63"/>
      <c r="S3108" s="63"/>
      <c r="T3108" s="63"/>
    </row>
    <row r="3109" spans="4:20" x14ac:dyDescent="0.35">
      <c r="D3109" s="63"/>
      <c r="S3109" s="63"/>
      <c r="T3109" s="63"/>
    </row>
    <row r="3110" spans="4:20" x14ac:dyDescent="0.35">
      <c r="D3110" s="63"/>
      <c r="S3110" s="63"/>
      <c r="T3110" s="63"/>
    </row>
    <row r="3111" spans="4:20" x14ac:dyDescent="0.35">
      <c r="D3111" s="63"/>
      <c r="S3111" s="63"/>
      <c r="T3111" s="63"/>
    </row>
    <row r="3112" spans="4:20" x14ac:dyDescent="0.35">
      <c r="D3112" s="63"/>
      <c r="S3112" s="63"/>
      <c r="T3112" s="63"/>
    </row>
    <row r="3113" spans="4:20" x14ac:dyDescent="0.35">
      <c r="D3113" s="63"/>
      <c r="S3113" s="63"/>
      <c r="T3113" s="63"/>
    </row>
    <row r="3114" spans="4:20" x14ac:dyDescent="0.35">
      <c r="D3114" s="63"/>
      <c r="S3114" s="63"/>
      <c r="T3114" s="63"/>
    </row>
    <row r="3115" spans="4:20" x14ac:dyDescent="0.35">
      <c r="D3115" s="63"/>
      <c r="S3115" s="63"/>
      <c r="T3115" s="63"/>
    </row>
    <row r="3116" spans="4:20" x14ac:dyDescent="0.35">
      <c r="D3116" s="63"/>
      <c r="S3116" s="63"/>
      <c r="T3116" s="63"/>
    </row>
    <row r="3117" spans="4:20" x14ac:dyDescent="0.35">
      <c r="D3117" s="63"/>
      <c r="S3117" s="63"/>
      <c r="T3117" s="63"/>
    </row>
    <row r="3118" spans="4:20" x14ac:dyDescent="0.35">
      <c r="D3118" s="63"/>
      <c r="S3118" s="63"/>
      <c r="T3118" s="63"/>
    </row>
    <row r="3119" spans="4:20" x14ac:dyDescent="0.35">
      <c r="D3119" s="63"/>
      <c r="S3119" s="63"/>
      <c r="T3119" s="63"/>
    </row>
    <row r="3120" spans="4:20" x14ac:dyDescent="0.35">
      <c r="D3120" s="63"/>
      <c r="S3120" s="63"/>
      <c r="T3120" s="63"/>
    </row>
    <row r="3121" spans="4:20" x14ac:dyDescent="0.35">
      <c r="D3121" s="63"/>
      <c r="S3121" s="63"/>
      <c r="T3121" s="63"/>
    </row>
    <row r="3122" spans="4:20" x14ac:dyDescent="0.35">
      <c r="D3122" s="63"/>
      <c r="S3122" s="63"/>
      <c r="T3122" s="63"/>
    </row>
    <row r="3123" spans="4:20" x14ac:dyDescent="0.35">
      <c r="D3123" s="63"/>
      <c r="S3123" s="63"/>
      <c r="T3123" s="63"/>
    </row>
    <row r="3124" spans="4:20" x14ac:dyDescent="0.35">
      <c r="D3124" s="63"/>
      <c r="S3124" s="63"/>
      <c r="T3124" s="63"/>
    </row>
    <row r="3125" spans="4:20" x14ac:dyDescent="0.35">
      <c r="D3125" s="63"/>
      <c r="S3125" s="63"/>
      <c r="T3125" s="63"/>
    </row>
    <row r="3126" spans="4:20" x14ac:dyDescent="0.35">
      <c r="D3126" s="63"/>
      <c r="S3126" s="63"/>
      <c r="T3126" s="63"/>
    </row>
    <row r="3127" spans="4:20" x14ac:dyDescent="0.35">
      <c r="D3127" s="63"/>
      <c r="S3127" s="63"/>
      <c r="T3127" s="63"/>
    </row>
    <row r="3128" spans="4:20" x14ac:dyDescent="0.35">
      <c r="D3128" s="63"/>
      <c r="S3128" s="63"/>
      <c r="T3128" s="63"/>
    </row>
    <row r="3129" spans="4:20" x14ac:dyDescent="0.35">
      <c r="D3129" s="63"/>
      <c r="S3129" s="63"/>
      <c r="T3129" s="63"/>
    </row>
    <row r="3130" spans="4:20" x14ac:dyDescent="0.35">
      <c r="D3130" s="63"/>
      <c r="S3130" s="63"/>
      <c r="T3130" s="63"/>
    </row>
    <row r="3131" spans="4:20" x14ac:dyDescent="0.35">
      <c r="D3131" s="63"/>
      <c r="S3131" s="63"/>
      <c r="T3131" s="63"/>
    </row>
    <row r="3132" spans="4:20" x14ac:dyDescent="0.35">
      <c r="D3132" s="63"/>
      <c r="S3132" s="63"/>
      <c r="T3132" s="63"/>
    </row>
    <row r="3133" spans="4:20" x14ac:dyDescent="0.35">
      <c r="D3133" s="63"/>
      <c r="S3133" s="63"/>
      <c r="T3133" s="63"/>
    </row>
    <row r="3134" spans="4:20" x14ac:dyDescent="0.35">
      <c r="D3134" s="63"/>
      <c r="S3134" s="63"/>
      <c r="T3134" s="63"/>
    </row>
    <row r="3135" spans="4:20" x14ac:dyDescent="0.35">
      <c r="D3135" s="63"/>
      <c r="S3135" s="63"/>
      <c r="T3135" s="63"/>
    </row>
    <row r="3136" spans="4:20" x14ac:dyDescent="0.35">
      <c r="D3136" s="63"/>
      <c r="S3136" s="63"/>
      <c r="T3136" s="63"/>
    </row>
    <row r="3137" spans="4:20" x14ac:dyDescent="0.35">
      <c r="D3137" s="63"/>
      <c r="S3137" s="63"/>
      <c r="T3137" s="63"/>
    </row>
    <row r="3138" spans="4:20" x14ac:dyDescent="0.35">
      <c r="D3138" s="63"/>
      <c r="S3138" s="63"/>
      <c r="T3138" s="63"/>
    </row>
    <row r="3139" spans="4:20" x14ac:dyDescent="0.35">
      <c r="D3139" s="63"/>
      <c r="S3139" s="63"/>
      <c r="T3139" s="63"/>
    </row>
    <row r="3140" spans="4:20" x14ac:dyDescent="0.35">
      <c r="D3140" s="63"/>
      <c r="S3140" s="63"/>
      <c r="T3140" s="63"/>
    </row>
    <row r="3141" spans="4:20" x14ac:dyDescent="0.35">
      <c r="D3141" s="63"/>
      <c r="S3141" s="63"/>
      <c r="T3141" s="63"/>
    </row>
    <row r="3142" spans="4:20" x14ac:dyDescent="0.35">
      <c r="D3142" s="63"/>
      <c r="S3142" s="63"/>
      <c r="T3142" s="63"/>
    </row>
    <row r="3143" spans="4:20" x14ac:dyDescent="0.35">
      <c r="D3143" s="63"/>
      <c r="S3143" s="63"/>
      <c r="T3143" s="63"/>
    </row>
    <row r="3144" spans="4:20" x14ac:dyDescent="0.35">
      <c r="D3144" s="63"/>
      <c r="S3144" s="63"/>
      <c r="T3144" s="63"/>
    </row>
    <row r="3145" spans="4:20" x14ac:dyDescent="0.35">
      <c r="D3145" s="63"/>
      <c r="S3145" s="63"/>
      <c r="T3145" s="63"/>
    </row>
    <row r="3146" spans="4:20" x14ac:dyDescent="0.35">
      <c r="D3146" s="63"/>
      <c r="S3146" s="63"/>
      <c r="T3146" s="63"/>
    </row>
    <row r="3147" spans="4:20" x14ac:dyDescent="0.35">
      <c r="D3147" s="63"/>
      <c r="S3147" s="63"/>
      <c r="T3147" s="63"/>
    </row>
    <row r="3148" spans="4:20" x14ac:dyDescent="0.35">
      <c r="D3148" s="63"/>
      <c r="S3148" s="63"/>
      <c r="T3148" s="63"/>
    </row>
    <row r="3149" spans="4:20" x14ac:dyDescent="0.35">
      <c r="D3149" s="63"/>
      <c r="S3149" s="63"/>
      <c r="T3149" s="63"/>
    </row>
    <row r="3150" spans="4:20" x14ac:dyDescent="0.35">
      <c r="D3150" s="63"/>
      <c r="S3150" s="63"/>
      <c r="T3150" s="63"/>
    </row>
    <row r="3151" spans="4:20" x14ac:dyDescent="0.35">
      <c r="D3151" s="63"/>
      <c r="S3151" s="63"/>
      <c r="T3151" s="63"/>
    </row>
    <row r="3152" spans="4:20" x14ac:dyDescent="0.35">
      <c r="D3152" s="63"/>
      <c r="S3152" s="63"/>
      <c r="T3152" s="63"/>
    </row>
    <row r="3153" spans="4:20" x14ac:dyDescent="0.35">
      <c r="D3153" s="63"/>
      <c r="S3153" s="63"/>
      <c r="T3153" s="63"/>
    </row>
    <row r="3154" spans="4:20" x14ac:dyDescent="0.35">
      <c r="D3154" s="63"/>
      <c r="S3154" s="63"/>
      <c r="T3154" s="63"/>
    </row>
    <row r="3155" spans="4:20" x14ac:dyDescent="0.35">
      <c r="D3155" s="63"/>
      <c r="S3155" s="63"/>
      <c r="T3155" s="63"/>
    </row>
    <row r="3156" spans="4:20" x14ac:dyDescent="0.35">
      <c r="D3156" s="63"/>
      <c r="S3156" s="63"/>
      <c r="T3156" s="63"/>
    </row>
    <row r="3157" spans="4:20" x14ac:dyDescent="0.35">
      <c r="D3157" s="63"/>
      <c r="S3157" s="63"/>
      <c r="T3157" s="63"/>
    </row>
    <row r="3158" spans="4:20" x14ac:dyDescent="0.35">
      <c r="D3158" s="63"/>
      <c r="S3158" s="63"/>
      <c r="T3158" s="63"/>
    </row>
    <row r="3159" spans="4:20" x14ac:dyDescent="0.35">
      <c r="D3159" s="63"/>
      <c r="S3159" s="63"/>
      <c r="T3159" s="63"/>
    </row>
    <row r="3160" spans="4:20" x14ac:dyDescent="0.35">
      <c r="D3160" s="63"/>
      <c r="S3160" s="63"/>
      <c r="T3160" s="63"/>
    </row>
    <row r="3161" spans="4:20" x14ac:dyDescent="0.35">
      <c r="D3161" s="63"/>
      <c r="S3161" s="63"/>
      <c r="T3161" s="63"/>
    </row>
    <row r="3162" spans="4:20" x14ac:dyDescent="0.35">
      <c r="D3162" s="63"/>
      <c r="S3162" s="63"/>
      <c r="T3162" s="63"/>
    </row>
    <row r="3163" spans="4:20" x14ac:dyDescent="0.35">
      <c r="D3163" s="63"/>
      <c r="S3163" s="63"/>
      <c r="T3163" s="63"/>
    </row>
    <row r="3164" spans="4:20" x14ac:dyDescent="0.35">
      <c r="D3164" s="63"/>
      <c r="S3164" s="63"/>
      <c r="T3164" s="63"/>
    </row>
    <row r="3165" spans="4:20" x14ac:dyDescent="0.35">
      <c r="D3165" s="63"/>
      <c r="S3165" s="63"/>
      <c r="T3165" s="63"/>
    </row>
    <row r="3166" spans="4:20" x14ac:dyDescent="0.35">
      <c r="D3166" s="63"/>
      <c r="S3166" s="63"/>
      <c r="T3166" s="63"/>
    </row>
    <row r="3167" spans="4:20" x14ac:dyDescent="0.35">
      <c r="D3167" s="63"/>
      <c r="S3167" s="63"/>
      <c r="T3167" s="63"/>
    </row>
    <row r="3168" spans="4:20" x14ac:dyDescent="0.35">
      <c r="D3168" s="63"/>
      <c r="S3168" s="63"/>
      <c r="T3168" s="63"/>
    </row>
    <row r="3169" spans="4:20" x14ac:dyDescent="0.35">
      <c r="D3169" s="63"/>
      <c r="S3169" s="63"/>
      <c r="T3169" s="63"/>
    </row>
    <row r="3170" spans="4:20" x14ac:dyDescent="0.35">
      <c r="D3170" s="63"/>
      <c r="S3170" s="63"/>
      <c r="T3170" s="63"/>
    </row>
    <row r="3171" spans="4:20" x14ac:dyDescent="0.35">
      <c r="D3171" s="63"/>
      <c r="S3171" s="63"/>
      <c r="T3171" s="63"/>
    </row>
    <row r="3172" spans="4:20" x14ac:dyDescent="0.35">
      <c r="D3172" s="63"/>
      <c r="S3172" s="63"/>
      <c r="T3172" s="63"/>
    </row>
    <row r="3173" spans="4:20" x14ac:dyDescent="0.35">
      <c r="D3173" s="63"/>
      <c r="S3173" s="63"/>
      <c r="T3173" s="63"/>
    </row>
    <row r="3174" spans="4:20" x14ac:dyDescent="0.35">
      <c r="D3174" s="63"/>
      <c r="S3174" s="63"/>
      <c r="T3174" s="63"/>
    </row>
    <row r="3175" spans="4:20" x14ac:dyDescent="0.35">
      <c r="D3175" s="63"/>
      <c r="S3175" s="63"/>
      <c r="T3175" s="63"/>
    </row>
    <row r="3176" spans="4:20" x14ac:dyDescent="0.35">
      <c r="D3176" s="63"/>
      <c r="S3176" s="63"/>
      <c r="T3176" s="63"/>
    </row>
    <row r="3177" spans="4:20" x14ac:dyDescent="0.35">
      <c r="D3177" s="63"/>
      <c r="S3177" s="63"/>
      <c r="T3177" s="63"/>
    </row>
    <row r="3178" spans="4:20" x14ac:dyDescent="0.35">
      <c r="D3178" s="63"/>
      <c r="S3178" s="63"/>
      <c r="T3178" s="63"/>
    </row>
    <row r="3179" spans="4:20" x14ac:dyDescent="0.35">
      <c r="D3179" s="63"/>
      <c r="S3179" s="63"/>
      <c r="T3179" s="63"/>
    </row>
    <row r="3180" spans="4:20" x14ac:dyDescent="0.35">
      <c r="D3180" s="63"/>
      <c r="S3180" s="63"/>
      <c r="T3180" s="63"/>
    </row>
    <row r="3181" spans="4:20" x14ac:dyDescent="0.35">
      <c r="D3181" s="63"/>
      <c r="S3181" s="63"/>
      <c r="T3181" s="63"/>
    </row>
    <row r="3182" spans="4:20" x14ac:dyDescent="0.35">
      <c r="D3182" s="63"/>
      <c r="S3182" s="63"/>
      <c r="T3182" s="63"/>
    </row>
    <row r="3183" spans="4:20" x14ac:dyDescent="0.35">
      <c r="D3183" s="63"/>
      <c r="S3183" s="63"/>
      <c r="T3183" s="63"/>
    </row>
    <row r="3184" spans="4:20" x14ac:dyDescent="0.35">
      <c r="D3184" s="63"/>
      <c r="S3184" s="63"/>
      <c r="T3184" s="63"/>
    </row>
    <row r="3185" spans="4:20" x14ac:dyDescent="0.35">
      <c r="D3185" s="63"/>
      <c r="S3185" s="63"/>
      <c r="T3185" s="63"/>
    </row>
    <row r="3186" spans="4:20" x14ac:dyDescent="0.35">
      <c r="D3186" s="63"/>
      <c r="S3186" s="63"/>
      <c r="T3186" s="63"/>
    </row>
    <row r="3187" spans="4:20" x14ac:dyDescent="0.35">
      <c r="D3187" s="63"/>
      <c r="S3187" s="63"/>
      <c r="T3187" s="63"/>
    </row>
    <row r="3188" spans="4:20" x14ac:dyDescent="0.35">
      <c r="D3188" s="63"/>
      <c r="S3188" s="63"/>
      <c r="T3188" s="63"/>
    </row>
    <row r="3189" spans="4:20" x14ac:dyDescent="0.35">
      <c r="D3189" s="63"/>
      <c r="S3189" s="63"/>
      <c r="T3189" s="63"/>
    </row>
    <row r="3190" spans="4:20" x14ac:dyDescent="0.35">
      <c r="D3190" s="63"/>
      <c r="S3190" s="63"/>
      <c r="T3190" s="63"/>
    </row>
    <row r="3191" spans="4:20" x14ac:dyDescent="0.35">
      <c r="D3191" s="63"/>
      <c r="S3191" s="63"/>
      <c r="T3191" s="63"/>
    </row>
    <row r="3192" spans="4:20" x14ac:dyDescent="0.35">
      <c r="D3192" s="63"/>
      <c r="S3192" s="63"/>
      <c r="T3192" s="63"/>
    </row>
    <row r="3193" spans="4:20" x14ac:dyDescent="0.35">
      <c r="D3193" s="63"/>
      <c r="S3193" s="63"/>
      <c r="T3193" s="63"/>
    </row>
    <row r="3194" spans="4:20" x14ac:dyDescent="0.35">
      <c r="D3194" s="63"/>
      <c r="S3194" s="63"/>
      <c r="T3194" s="63"/>
    </row>
    <row r="3195" spans="4:20" x14ac:dyDescent="0.35">
      <c r="D3195" s="63"/>
      <c r="S3195" s="63"/>
      <c r="T3195" s="63"/>
    </row>
    <row r="3196" spans="4:20" x14ac:dyDescent="0.35">
      <c r="D3196" s="63"/>
      <c r="S3196" s="63"/>
      <c r="T3196" s="63"/>
    </row>
    <row r="3197" spans="4:20" x14ac:dyDescent="0.35">
      <c r="D3197" s="63"/>
      <c r="S3197" s="63"/>
      <c r="T3197" s="63"/>
    </row>
    <row r="3198" spans="4:20" x14ac:dyDescent="0.35">
      <c r="D3198" s="63"/>
      <c r="S3198" s="63"/>
      <c r="T3198" s="63"/>
    </row>
    <row r="3199" spans="4:20" x14ac:dyDescent="0.35">
      <c r="D3199" s="63"/>
      <c r="S3199" s="63"/>
      <c r="T3199" s="63"/>
    </row>
    <row r="3200" spans="4:20" x14ac:dyDescent="0.35">
      <c r="D3200" s="63"/>
      <c r="S3200" s="63"/>
      <c r="T3200" s="63"/>
    </row>
    <row r="3201" spans="4:20" x14ac:dyDescent="0.35">
      <c r="D3201" s="63"/>
      <c r="S3201" s="63"/>
      <c r="T3201" s="63"/>
    </row>
    <row r="3202" spans="4:20" x14ac:dyDescent="0.35">
      <c r="D3202" s="63"/>
      <c r="S3202" s="63"/>
      <c r="T3202" s="63"/>
    </row>
    <row r="3203" spans="4:20" x14ac:dyDescent="0.35">
      <c r="D3203" s="63"/>
      <c r="S3203" s="63"/>
      <c r="T3203" s="63"/>
    </row>
    <row r="3204" spans="4:20" x14ac:dyDescent="0.35">
      <c r="D3204" s="63"/>
      <c r="S3204" s="63"/>
      <c r="T3204" s="63"/>
    </row>
    <row r="3205" spans="4:20" x14ac:dyDescent="0.35">
      <c r="D3205" s="63"/>
      <c r="S3205" s="63"/>
      <c r="T3205" s="63"/>
    </row>
    <row r="3206" spans="4:20" x14ac:dyDescent="0.35">
      <c r="D3206" s="63"/>
      <c r="S3206" s="63"/>
      <c r="T3206" s="63"/>
    </row>
    <row r="3207" spans="4:20" x14ac:dyDescent="0.35">
      <c r="D3207" s="63"/>
      <c r="S3207" s="63"/>
      <c r="T3207" s="63"/>
    </row>
    <row r="3208" spans="4:20" x14ac:dyDescent="0.35">
      <c r="D3208" s="63"/>
      <c r="S3208" s="63"/>
      <c r="T3208" s="63"/>
    </row>
    <row r="3209" spans="4:20" x14ac:dyDescent="0.35">
      <c r="D3209" s="63"/>
      <c r="S3209" s="63"/>
      <c r="T3209" s="63"/>
    </row>
    <row r="3210" spans="4:20" x14ac:dyDescent="0.35">
      <c r="D3210" s="63"/>
      <c r="S3210" s="63"/>
      <c r="T3210" s="63"/>
    </row>
    <row r="3211" spans="4:20" x14ac:dyDescent="0.35">
      <c r="D3211" s="63"/>
      <c r="S3211" s="63"/>
      <c r="T3211" s="63"/>
    </row>
    <row r="3212" spans="4:20" x14ac:dyDescent="0.35">
      <c r="D3212" s="63"/>
      <c r="S3212" s="63"/>
      <c r="T3212" s="63"/>
    </row>
    <row r="3213" spans="4:20" x14ac:dyDescent="0.35">
      <c r="D3213" s="63"/>
      <c r="S3213" s="63"/>
      <c r="T3213" s="63"/>
    </row>
    <row r="3214" spans="4:20" x14ac:dyDescent="0.35">
      <c r="D3214" s="63"/>
      <c r="S3214" s="63"/>
      <c r="T3214" s="63"/>
    </row>
    <row r="3215" spans="4:20" x14ac:dyDescent="0.35">
      <c r="D3215" s="63"/>
      <c r="S3215" s="63"/>
      <c r="T3215" s="63"/>
    </row>
    <row r="3216" spans="4:20" x14ac:dyDescent="0.35">
      <c r="D3216" s="63"/>
      <c r="S3216" s="63"/>
      <c r="T3216" s="63"/>
    </row>
    <row r="3217" spans="4:20" x14ac:dyDescent="0.35">
      <c r="D3217" s="63"/>
      <c r="S3217" s="63"/>
      <c r="T3217" s="63"/>
    </row>
    <row r="3218" spans="4:20" x14ac:dyDescent="0.35">
      <c r="D3218" s="63"/>
      <c r="S3218" s="63"/>
      <c r="T3218" s="63"/>
    </row>
    <row r="3219" spans="4:20" x14ac:dyDescent="0.35">
      <c r="D3219" s="63"/>
      <c r="S3219" s="63"/>
      <c r="T3219" s="63"/>
    </row>
    <row r="3220" spans="4:20" x14ac:dyDescent="0.35">
      <c r="D3220" s="63"/>
      <c r="S3220" s="63"/>
      <c r="T3220" s="63"/>
    </row>
    <row r="3221" spans="4:20" x14ac:dyDescent="0.35">
      <c r="D3221" s="63"/>
      <c r="S3221" s="63"/>
      <c r="T3221" s="63"/>
    </row>
    <row r="3222" spans="4:20" x14ac:dyDescent="0.35">
      <c r="D3222" s="63"/>
      <c r="S3222" s="63"/>
      <c r="T3222" s="63"/>
    </row>
    <row r="3223" spans="4:20" x14ac:dyDescent="0.35">
      <c r="D3223" s="63"/>
      <c r="S3223" s="63"/>
      <c r="T3223" s="63"/>
    </row>
    <row r="3224" spans="4:20" x14ac:dyDescent="0.35">
      <c r="D3224" s="63"/>
      <c r="S3224" s="63"/>
      <c r="T3224" s="63"/>
    </row>
    <row r="3225" spans="4:20" x14ac:dyDescent="0.35">
      <c r="D3225" s="63"/>
      <c r="S3225" s="63"/>
      <c r="T3225" s="63"/>
    </row>
    <row r="3226" spans="4:20" x14ac:dyDescent="0.35">
      <c r="D3226" s="63"/>
      <c r="S3226" s="63"/>
      <c r="T3226" s="63"/>
    </row>
    <row r="3227" spans="4:20" x14ac:dyDescent="0.35">
      <c r="D3227" s="63"/>
      <c r="S3227" s="63"/>
      <c r="T3227" s="63"/>
    </row>
    <row r="3228" spans="4:20" x14ac:dyDescent="0.35">
      <c r="D3228" s="63"/>
      <c r="S3228" s="63"/>
      <c r="T3228" s="63"/>
    </row>
    <row r="3229" spans="4:20" x14ac:dyDescent="0.35">
      <c r="D3229" s="63"/>
      <c r="S3229" s="63"/>
      <c r="T3229" s="63"/>
    </row>
    <row r="3230" spans="4:20" x14ac:dyDescent="0.35">
      <c r="D3230" s="63"/>
      <c r="S3230" s="63"/>
      <c r="T3230" s="63"/>
    </row>
    <row r="3231" spans="4:20" x14ac:dyDescent="0.35">
      <c r="D3231" s="63"/>
      <c r="S3231" s="63"/>
      <c r="T3231" s="63"/>
    </row>
    <row r="3232" spans="4:20" x14ac:dyDescent="0.35">
      <c r="D3232" s="63"/>
      <c r="S3232" s="63"/>
      <c r="T3232" s="63"/>
    </row>
    <row r="3233" spans="4:20" x14ac:dyDescent="0.35">
      <c r="D3233" s="63"/>
      <c r="S3233" s="63"/>
      <c r="T3233" s="63"/>
    </row>
    <row r="3234" spans="4:20" x14ac:dyDescent="0.35">
      <c r="D3234" s="63"/>
      <c r="S3234" s="63"/>
      <c r="T3234" s="63"/>
    </row>
    <row r="3235" spans="4:20" x14ac:dyDescent="0.35">
      <c r="D3235" s="63"/>
      <c r="S3235" s="63"/>
      <c r="T3235" s="63"/>
    </row>
    <row r="3236" spans="4:20" x14ac:dyDescent="0.35">
      <c r="D3236" s="63"/>
      <c r="S3236" s="63"/>
      <c r="T3236" s="63"/>
    </row>
    <row r="3237" spans="4:20" x14ac:dyDescent="0.35">
      <c r="D3237" s="63"/>
      <c r="S3237" s="63"/>
      <c r="T3237" s="63"/>
    </row>
    <row r="3238" spans="4:20" x14ac:dyDescent="0.35">
      <c r="D3238" s="63"/>
      <c r="S3238" s="63"/>
      <c r="T3238" s="63"/>
    </row>
    <row r="3239" spans="4:20" x14ac:dyDescent="0.35">
      <c r="D3239" s="63"/>
      <c r="S3239" s="63"/>
      <c r="T3239" s="63"/>
    </row>
    <row r="3240" spans="4:20" x14ac:dyDescent="0.35">
      <c r="D3240" s="63"/>
      <c r="S3240" s="63"/>
      <c r="T3240" s="63"/>
    </row>
    <row r="3241" spans="4:20" x14ac:dyDescent="0.35">
      <c r="D3241" s="63"/>
      <c r="S3241" s="63"/>
      <c r="T3241" s="63"/>
    </row>
    <row r="3242" spans="4:20" x14ac:dyDescent="0.35">
      <c r="D3242" s="63"/>
      <c r="S3242" s="63"/>
      <c r="T3242" s="63"/>
    </row>
    <row r="3243" spans="4:20" x14ac:dyDescent="0.35">
      <c r="D3243" s="63"/>
      <c r="S3243" s="63"/>
      <c r="T3243" s="63"/>
    </row>
    <row r="3244" spans="4:20" x14ac:dyDescent="0.35">
      <c r="D3244" s="63"/>
      <c r="S3244" s="63"/>
      <c r="T3244" s="63"/>
    </row>
    <row r="3245" spans="4:20" x14ac:dyDescent="0.35">
      <c r="D3245" s="63"/>
      <c r="S3245" s="63"/>
      <c r="T3245" s="63"/>
    </row>
    <row r="3246" spans="4:20" x14ac:dyDescent="0.35">
      <c r="D3246" s="63"/>
      <c r="S3246" s="63"/>
      <c r="T3246" s="63"/>
    </row>
    <row r="3247" spans="4:20" x14ac:dyDescent="0.35">
      <c r="D3247" s="63"/>
      <c r="S3247" s="63"/>
      <c r="T3247" s="63"/>
    </row>
    <row r="3248" spans="4:20" x14ac:dyDescent="0.35">
      <c r="D3248" s="63"/>
      <c r="S3248" s="63"/>
      <c r="T3248" s="63"/>
    </row>
    <row r="3249" spans="4:20" x14ac:dyDescent="0.35">
      <c r="D3249" s="63"/>
      <c r="S3249" s="63"/>
      <c r="T3249" s="63"/>
    </row>
    <row r="3250" spans="4:20" x14ac:dyDescent="0.35">
      <c r="D3250" s="63"/>
      <c r="S3250" s="63"/>
      <c r="T3250" s="63"/>
    </row>
    <row r="3251" spans="4:20" x14ac:dyDescent="0.35">
      <c r="D3251" s="63"/>
      <c r="S3251" s="63"/>
      <c r="T3251" s="63"/>
    </row>
    <row r="3252" spans="4:20" x14ac:dyDescent="0.35">
      <c r="D3252" s="63"/>
      <c r="S3252" s="63"/>
      <c r="T3252" s="63"/>
    </row>
    <row r="3253" spans="4:20" x14ac:dyDescent="0.35">
      <c r="D3253" s="63"/>
      <c r="S3253" s="63"/>
      <c r="T3253" s="63"/>
    </row>
    <row r="3254" spans="4:20" x14ac:dyDescent="0.35">
      <c r="D3254" s="63"/>
      <c r="S3254" s="63"/>
      <c r="T3254" s="63"/>
    </row>
    <row r="3255" spans="4:20" x14ac:dyDescent="0.35">
      <c r="D3255" s="63"/>
      <c r="S3255" s="63"/>
      <c r="T3255" s="63"/>
    </row>
    <row r="3256" spans="4:20" x14ac:dyDescent="0.35">
      <c r="D3256" s="63"/>
      <c r="S3256" s="63"/>
      <c r="T3256" s="63"/>
    </row>
    <row r="3257" spans="4:20" x14ac:dyDescent="0.35">
      <c r="D3257" s="63"/>
      <c r="S3257" s="63"/>
      <c r="T3257" s="63"/>
    </row>
    <row r="3258" spans="4:20" x14ac:dyDescent="0.35">
      <c r="D3258" s="63"/>
      <c r="S3258" s="63"/>
      <c r="T3258" s="63"/>
    </row>
    <row r="3259" spans="4:20" x14ac:dyDescent="0.35">
      <c r="D3259" s="63"/>
      <c r="S3259" s="63"/>
      <c r="T3259" s="63"/>
    </row>
    <row r="3260" spans="4:20" x14ac:dyDescent="0.35">
      <c r="D3260" s="63"/>
      <c r="S3260" s="63"/>
      <c r="T3260" s="63"/>
    </row>
    <row r="3261" spans="4:20" x14ac:dyDescent="0.35">
      <c r="D3261" s="63"/>
      <c r="S3261" s="63"/>
      <c r="T3261" s="63"/>
    </row>
    <row r="3262" spans="4:20" x14ac:dyDescent="0.35">
      <c r="D3262" s="63"/>
      <c r="S3262" s="63"/>
      <c r="T3262" s="63"/>
    </row>
    <row r="3263" spans="4:20" x14ac:dyDescent="0.35">
      <c r="D3263" s="63"/>
      <c r="S3263" s="63"/>
      <c r="T3263" s="63"/>
    </row>
    <row r="3264" spans="4:20" x14ac:dyDescent="0.35">
      <c r="D3264" s="63"/>
      <c r="S3264" s="63"/>
      <c r="T3264" s="63"/>
    </row>
    <row r="3265" spans="4:20" x14ac:dyDescent="0.35">
      <c r="D3265" s="63"/>
      <c r="S3265" s="63"/>
      <c r="T3265" s="63"/>
    </row>
    <row r="3266" spans="4:20" x14ac:dyDescent="0.35">
      <c r="D3266" s="63"/>
      <c r="S3266" s="63"/>
      <c r="T3266" s="63"/>
    </row>
    <row r="3267" spans="4:20" x14ac:dyDescent="0.35">
      <c r="D3267" s="63"/>
      <c r="S3267" s="63"/>
      <c r="T3267" s="63"/>
    </row>
    <row r="3268" spans="4:20" x14ac:dyDescent="0.35">
      <c r="D3268" s="63"/>
      <c r="S3268" s="63"/>
      <c r="T3268" s="63"/>
    </row>
    <row r="3269" spans="4:20" x14ac:dyDescent="0.35">
      <c r="D3269" s="63"/>
      <c r="S3269" s="63"/>
      <c r="T3269" s="63"/>
    </row>
    <row r="3270" spans="4:20" x14ac:dyDescent="0.35">
      <c r="D3270" s="63"/>
      <c r="S3270" s="63"/>
      <c r="T3270" s="63"/>
    </row>
    <row r="3271" spans="4:20" x14ac:dyDescent="0.35">
      <c r="D3271" s="63"/>
      <c r="S3271" s="63"/>
      <c r="T3271" s="63"/>
    </row>
    <row r="3272" spans="4:20" x14ac:dyDescent="0.35">
      <c r="D3272" s="63"/>
      <c r="S3272" s="63"/>
      <c r="T3272" s="63"/>
    </row>
    <row r="3273" spans="4:20" x14ac:dyDescent="0.35">
      <c r="D3273" s="63"/>
      <c r="S3273" s="63"/>
      <c r="T3273" s="63"/>
    </row>
    <row r="3274" spans="4:20" x14ac:dyDescent="0.35">
      <c r="D3274" s="63"/>
      <c r="S3274" s="63"/>
      <c r="T3274" s="63"/>
    </row>
    <row r="3275" spans="4:20" x14ac:dyDescent="0.35">
      <c r="D3275" s="63"/>
      <c r="S3275" s="63"/>
      <c r="T3275" s="63"/>
    </row>
    <row r="3276" spans="4:20" x14ac:dyDescent="0.35">
      <c r="D3276" s="63"/>
      <c r="S3276" s="63"/>
      <c r="T3276" s="63"/>
    </row>
    <row r="3277" spans="4:20" x14ac:dyDescent="0.35">
      <c r="D3277" s="63"/>
      <c r="S3277" s="63"/>
      <c r="T3277" s="63"/>
    </row>
    <row r="3278" spans="4:20" x14ac:dyDescent="0.35">
      <c r="D3278" s="63"/>
      <c r="S3278" s="63"/>
      <c r="T3278" s="63"/>
    </row>
    <row r="3279" spans="4:20" x14ac:dyDescent="0.35">
      <c r="D3279" s="63"/>
      <c r="S3279" s="63"/>
      <c r="T3279" s="63"/>
    </row>
    <row r="3280" spans="4:20" x14ac:dyDescent="0.35">
      <c r="D3280" s="63"/>
      <c r="S3280" s="63"/>
      <c r="T3280" s="63"/>
    </row>
    <row r="3281" spans="4:20" x14ac:dyDescent="0.35">
      <c r="D3281" s="63"/>
      <c r="S3281" s="63"/>
      <c r="T3281" s="63"/>
    </row>
    <row r="3282" spans="4:20" x14ac:dyDescent="0.35">
      <c r="D3282" s="63"/>
      <c r="S3282" s="63"/>
      <c r="T3282" s="63"/>
    </row>
    <row r="3283" spans="4:20" x14ac:dyDescent="0.35">
      <c r="D3283" s="63"/>
      <c r="S3283" s="63"/>
      <c r="T3283" s="63"/>
    </row>
    <row r="3284" spans="4:20" x14ac:dyDescent="0.35">
      <c r="D3284" s="63"/>
      <c r="S3284" s="63"/>
      <c r="T3284" s="63"/>
    </row>
    <row r="3285" spans="4:20" x14ac:dyDescent="0.35">
      <c r="D3285" s="63"/>
      <c r="S3285" s="63"/>
      <c r="T3285" s="63"/>
    </row>
    <row r="3286" spans="4:20" x14ac:dyDescent="0.35">
      <c r="D3286" s="63"/>
      <c r="S3286" s="63"/>
      <c r="T3286" s="63"/>
    </row>
    <row r="3287" spans="4:20" x14ac:dyDescent="0.35">
      <c r="D3287" s="63"/>
      <c r="S3287" s="63"/>
      <c r="T3287" s="63"/>
    </row>
    <row r="3288" spans="4:20" x14ac:dyDescent="0.35">
      <c r="D3288" s="63"/>
      <c r="S3288" s="63"/>
      <c r="T3288" s="63"/>
    </row>
    <row r="3289" spans="4:20" x14ac:dyDescent="0.35">
      <c r="D3289" s="63"/>
      <c r="S3289" s="63"/>
      <c r="T3289" s="63"/>
    </row>
    <row r="3290" spans="4:20" x14ac:dyDescent="0.35">
      <c r="D3290" s="63"/>
      <c r="S3290" s="63"/>
      <c r="T3290" s="63"/>
    </row>
    <row r="3291" spans="4:20" x14ac:dyDescent="0.35">
      <c r="D3291" s="63"/>
      <c r="S3291" s="63"/>
      <c r="T3291" s="63"/>
    </row>
    <row r="3292" spans="4:20" x14ac:dyDescent="0.35">
      <c r="D3292" s="63"/>
      <c r="S3292" s="63"/>
      <c r="T3292" s="63"/>
    </row>
    <row r="3293" spans="4:20" x14ac:dyDescent="0.35">
      <c r="D3293" s="63"/>
      <c r="S3293" s="63"/>
      <c r="T3293" s="63"/>
    </row>
    <row r="3294" spans="4:20" x14ac:dyDescent="0.35">
      <c r="D3294" s="63"/>
      <c r="S3294" s="63"/>
      <c r="T3294" s="63"/>
    </row>
    <row r="3295" spans="4:20" x14ac:dyDescent="0.35">
      <c r="D3295" s="63"/>
      <c r="S3295" s="63"/>
      <c r="T3295" s="63"/>
    </row>
    <row r="3296" spans="4:20" x14ac:dyDescent="0.35">
      <c r="D3296" s="63"/>
      <c r="S3296" s="63"/>
      <c r="T3296" s="63"/>
    </row>
    <row r="3297" spans="4:20" x14ac:dyDescent="0.35">
      <c r="D3297" s="63"/>
      <c r="S3297" s="63"/>
      <c r="T3297" s="63"/>
    </row>
    <row r="3298" spans="4:20" x14ac:dyDescent="0.35">
      <c r="D3298" s="63"/>
      <c r="S3298" s="63"/>
      <c r="T3298" s="63"/>
    </row>
    <row r="3299" spans="4:20" x14ac:dyDescent="0.35">
      <c r="D3299" s="63"/>
      <c r="S3299" s="63"/>
      <c r="T3299" s="63"/>
    </row>
    <row r="3300" spans="4:20" x14ac:dyDescent="0.35">
      <c r="D3300" s="63"/>
      <c r="S3300" s="63"/>
      <c r="T3300" s="63"/>
    </row>
    <row r="3301" spans="4:20" x14ac:dyDescent="0.35">
      <c r="D3301" s="63"/>
      <c r="S3301" s="63"/>
      <c r="T3301" s="63"/>
    </row>
    <row r="3302" spans="4:20" x14ac:dyDescent="0.35">
      <c r="D3302" s="63"/>
      <c r="S3302" s="63"/>
      <c r="T3302" s="63"/>
    </row>
    <row r="3303" spans="4:20" x14ac:dyDescent="0.35">
      <c r="D3303" s="63"/>
      <c r="S3303" s="63"/>
      <c r="T3303" s="63"/>
    </row>
    <row r="3304" spans="4:20" x14ac:dyDescent="0.35">
      <c r="D3304" s="63"/>
      <c r="S3304" s="63"/>
      <c r="T3304" s="63"/>
    </row>
    <row r="3305" spans="4:20" x14ac:dyDescent="0.35">
      <c r="D3305" s="63"/>
      <c r="S3305" s="63"/>
      <c r="T3305" s="63"/>
    </row>
    <row r="3306" spans="4:20" x14ac:dyDescent="0.35">
      <c r="D3306" s="63"/>
      <c r="S3306" s="63"/>
      <c r="T3306" s="63"/>
    </row>
    <row r="3307" spans="4:20" x14ac:dyDescent="0.35">
      <c r="D3307" s="63"/>
      <c r="S3307" s="63"/>
      <c r="T3307" s="63"/>
    </row>
    <row r="3308" spans="4:20" x14ac:dyDescent="0.35">
      <c r="D3308" s="63"/>
      <c r="S3308" s="63"/>
      <c r="T3308" s="63"/>
    </row>
    <row r="3309" spans="4:20" x14ac:dyDescent="0.35">
      <c r="D3309" s="63"/>
      <c r="S3309" s="63"/>
      <c r="T3309" s="63"/>
    </row>
    <row r="3310" spans="4:20" x14ac:dyDescent="0.35">
      <c r="D3310" s="63"/>
      <c r="S3310" s="63"/>
      <c r="T3310" s="63"/>
    </row>
    <row r="3311" spans="4:20" x14ac:dyDescent="0.35">
      <c r="D3311" s="63"/>
      <c r="S3311" s="63"/>
      <c r="T3311" s="63"/>
    </row>
    <row r="3312" spans="4:20" x14ac:dyDescent="0.35">
      <c r="D3312" s="63"/>
      <c r="S3312" s="63"/>
      <c r="T3312" s="63"/>
    </row>
    <row r="3313" spans="4:20" x14ac:dyDescent="0.35">
      <c r="D3313" s="63"/>
      <c r="S3313" s="63"/>
      <c r="T3313" s="63"/>
    </row>
    <row r="3314" spans="4:20" x14ac:dyDescent="0.35">
      <c r="D3314" s="63"/>
      <c r="S3314" s="63"/>
      <c r="T3314" s="63"/>
    </row>
    <row r="3315" spans="4:20" x14ac:dyDescent="0.35">
      <c r="D3315" s="63"/>
      <c r="S3315" s="63"/>
      <c r="T3315" s="63"/>
    </row>
    <row r="3316" spans="4:20" x14ac:dyDescent="0.35">
      <c r="D3316" s="63"/>
      <c r="S3316" s="63"/>
      <c r="T3316" s="63"/>
    </row>
    <row r="3317" spans="4:20" x14ac:dyDescent="0.35">
      <c r="D3317" s="63"/>
      <c r="S3317" s="63"/>
      <c r="T3317" s="63"/>
    </row>
    <row r="3318" spans="4:20" x14ac:dyDescent="0.35">
      <c r="D3318" s="63"/>
      <c r="S3318" s="63"/>
      <c r="T3318" s="63"/>
    </row>
    <row r="3319" spans="4:20" x14ac:dyDescent="0.35">
      <c r="D3319" s="63"/>
      <c r="S3319" s="63"/>
      <c r="T3319" s="63"/>
    </row>
    <row r="3320" spans="4:20" x14ac:dyDescent="0.35">
      <c r="D3320" s="63"/>
      <c r="S3320" s="63"/>
      <c r="T3320" s="63"/>
    </row>
    <row r="3321" spans="4:20" x14ac:dyDescent="0.35">
      <c r="D3321" s="63"/>
      <c r="S3321" s="63"/>
      <c r="T3321" s="63"/>
    </row>
    <row r="3322" spans="4:20" x14ac:dyDescent="0.35">
      <c r="D3322" s="63"/>
      <c r="S3322" s="63"/>
      <c r="T3322" s="63"/>
    </row>
    <row r="3323" spans="4:20" x14ac:dyDescent="0.35">
      <c r="D3323" s="63"/>
      <c r="S3323" s="63"/>
      <c r="T3323" s="63"/>
    </row>
    <row r="3324" spans="4:20" x14ac:dyDescent="0.35">
      <c r="D3324" s="63"/>
      <c r="S3324" s="63"/>
      <c r="T3324" s="63"/>
    </row>
    <row r="3325" spans="4:20" x14ac:dyDescent="0.35">
      <c r="D3325" s="63"/>
      <c r="S3325" s="63"/>
      <c r="T3325" s="63"/>
    </row>
    <row r="3326" spans="4:20" x14ac:dyDescent="0.35">
      <c r="D3326" s="63"/>
      <c r="S3326" s="63"/>
      <c r="T3326" s="63"/>
    </row>
    <row r="3327" spans="4:20" x14ac:dyDescent="0.35">
      <c r="D3327" s="63"/>
      <c r="S3327" s="63"/>
      <c r="T3327" s="63"/>
    </row>
    <row r="3328" spans="4:20" x14ac:dyDescent="0.35">
      <c r="D3328" s="63"/>
      <c r="S3328" s="63"/>
      <c r="T3328" s="63"/>
    </row>
    <row r="3329" spans="4:20" x14ac:dyDescent="0.35">
      <c r="D3329" s="63"/>
      <c r="S3329" s="63"/>
      <c r="T3329" s="63"/>
    </row>
    <row r="3330" spans="4:20" x14ac:dyDescent="0.35">
      <c r="D3330" s="63"/>
      <c r="S3330" s="63"/>
      <c r="T3330" s="63"/>
    </row>
    <row r="3331" spans="4:20" x14ac:dyDescent="0.35">
      <c r="D3331" s="63"/>
      <c r="S3331" s="63"/>
      <c r="T3331" s="63"/>
    </row>
    <row r="3332" spans="4:20" x14ac:dyDescent="0.35">
      <c r="D3332" s="63"/>
      <c r="S3332" s="63"/>
      <c r="T3332" s="63"/>
    </row>
    <row r="3333" spans="4:20" x14ac:dyDescent="0.35">
      <c r="D3333" s="63"/>
      <c r="S3333" s="63"/>
      <c r="T3333" s="63"/>
    </row>
    <row r="3334" spans="4:20" x14ac:dyDescent="0.35">
      <c r="D3334" s="63"/>
      <c r="S3334" s="63"/>
      <c r="T3334" s="63"/>
    </row>
    <row r="3335" spans="4:20" x14ac:dyDescent="0.35">
      <c r="D3335" s="63"/>
      <c r="S3335" s="63"/>
      <c r="T3335" s="63"/>
    </row>
    <row r="3336" spans="4:20" x14ac:dyDescent="0.35">
      <c r="D3336" s="63"/>
      <c r="S3336" s="63"/>
      <c r="T3336" s="63"/>
    </row>
    <row r="3337" spans="4:20" x14ac:dyDescent="0.35">
      <c r="D3337" s="63"/>
      <c r="S3337" s="63"/>
      <c r="T3337" s="63"/>
    </row>
    <row r="3338" spans="4:20" x14ac:dyDescent="0.35">
      <c r="D3338" s="63"/>
      <c r="S3338" s="63"/>
      <c r="T3338" s="63"/>
    </row>
    <row r="3339" spans="4:20" x14ac:dyDescent="0.35">
      <c r="D3339" s="63"/>
      <c r="S3339" s="63"/>
      <c r="T3339" s="63"/>
    </row>
    <row r="3340" spans="4:20" x14ac:dyDescent="0.35">
      <c r="D3340" s="63"/>
      <c r="S3340" s="63"/>
      <c r="T3340" s="63"/>
    </row>
    <row r="3341" spans="4:20" x14ac:dyDescent="0.35">
      <c r="D3341" s="63"/>
      <c r="S3341" s="63"/>
      <c r="T3341" s="63"/>
    </row>
    <row r="3342" spans="4:20" x14ac:dyDescent="0.35">
      <c r="D3342" s="63"/>
      <c r="S3342" s="63"/>
      <c r="T3342" s="63"/>
    </row>
    <row r="3343" spans="4:20" x14ac:dyDescent="0.35">
      <c r="D3343" s="63"/>
      <c r="S3343" s="63"/>
      <c r="T3343" s="63"/>
    </row>
    <row r="3344" spans="4:20" x14ac:dyDescent="0.35">
      <c r="D3344" s="63"/>
      <c r="S3344" s="63"/>
      <c r="T3344" s="63"/>
    </row>
    <row r="3345" spans="4:20" x14ac:dyDescent="0.35">
      <c r="D3345" s="63"/>
      <c r="S3345" s="63"/>
      <c r="T3345" s="63"/>
    </row>
    <row r="3346" spans="4:20" x14ac:dyDescent="0.35">
      <c r="D3346" s="63"/>
      <c r="S3346" s="63"/>
      <c r="T3346" s="63"/>
    </row>
    <row r="3347" spans="4:20" x14ac:dyDescent="0.35">
      <c r="D3347" s="63"/>
      <c r="S3347" s="63"/>
      <c r="T3347" s="63"/>
    </row>
    <row r="3348" spans="4:20" x14ac:dyDescent="0.35">
      <c r="D3348" s="63"/>
      <c r="S3348" s="63"/>
      <c r="T3348" s="63"/>
    </row>
    <row r="3349" spans="4:20" x14ac:dyDescent="0.35">
      <c r="D3349" s="63"/>
      <c r="S3349" s="63"/>
      <c r="T3349" s="63"/>
    </row>
    <row r="3350" spans="4:20" x14ac:dyDescent="0.35">
      <c r="D3350" s="63"/>
      <c r="S3350" s="63"/>
      <c r="T3350" s="63"/>
    </row>
    <row r="3351" spans="4:20" x14ac:dyDescent="0.35">
      <c r="D3351" s="63"/>
      <c r="S3351" s="63"/>
      <c r="T3351" s="63"/>
    </row>
    <row r="3352" spans="4:20" x14ac:dyDescent="0.35">
      <c r="D3352" s="63"/>
      <c r="S3352" s="63"/>
      <c r="T3352" s="63"/>
    </row>
    <row r="3353" spans="4:20" x14ac:dyDescent="0.35">
      <c r="D3353" s="63"/>
      <c r="S3353" s="63"/>
      <c r="T3353" s="63"/>
    </row>
    <row r="3354" spans="4:20" x14ac:dyDescent="0.35">
      <c r="D3354" s="63"/>
      <c r="S3354" s="63"/>
      <c r="T3354" s="63"/>
    </row>
    <row r="3355" spans="4:20" x14ac:dyDescent="0.35">
      <c r="D3355" s="63"/>
      <c r="S3355" s="63"/>
      <c r="T3355" s="63"/>
    </row>
    <row r="3356" spans="4:20" x14ac:dyDescent="0.35">
      <c r="D3356" s="63"/>
      <c r="S3356" s="63"/>
      <c r="T3356" s="63"/>
    </row>
    <row r="3357" spans="4:20" x14ac:dyDescent="0.35">
      <c r="D3357" s="63"/>
      <c r="S3357" s="63"/>
      <c r="T3357" s="63"/>
    </row>
    <row r="3358" spans="4:20" x14ac:dyDescent="0.35">
      <c r="D3358" s="63"/>
      <c r="S3358" s="63"/>
      <c r="T3358" s="63"/>
    </row>
    <row r="3359" spans="4:20" x14ac:dyDescent="0.35">
      <c r="D3359" s="63"/>
      <c r="S3359" s="63"/>
      <c r="T3359" s="63"/>
    </row>
    <row r="3360" spans="4:20" x14ac:dyDescent="0.35">
      <c r="D3360" s="63"/>
      <c r="S3360" s="63"/>
      <c r="T3360" s="63"/>
    </row>
    <row r="3361" spans="4:20" x14ac:dyDescent="0.35">
      <c r="D3361" s="63"/>
      <c r="S3361" s="63"/>
      <c r="T3361" s="63"/>
    </row>
    <row r="3362" spans="4:20" x14ac:dyDescent="0.35">
      <c r="D3362" s="63"/>
      <c r="S3362" s="63"/>
      <c r="T3362" s="63"/>
    </row>
    <row r="3363" spans="4:20" x14ac:dyDescent="0.35">
      <c r="D3363" s="63"/>
      <c r="S3363" s="63"/>
      <c r="T3363" s="63"/>
    </row>
    <row r="3364" spans="4:20" x14ac:dyDescent="0.35">
      <c r="D3364" s="63"/>
      <c r="S3364" s="63"/>
      <c r="T3364" s="63"/>
    </row>
    <row r="3365" spans="4:20" x14ac:dyDescent="0.35">
      <c r="D3365" s="63"/>
      <c r="S3365" s="63"/>
      <c r="T3365" s="63"/>
    </row>
    <row r="3366" spans="4:20" x14ac:dyDescent="0.35">
      <c r="D3366" s="63"/>
      <c r="S3366" s="63"/>
      <c r="T3366" s="63"/>
    </row>
    <row r="3367" spans="4:20" x14ac:dyDescent="0.35">
      <c r="D3367" s="63"/>
      <c r="S3367" s="63"/>
      <c r="T3367" s="63"/>
    </row>
    <row r="3368" spans="4:20" x14ac:dyDescent="0.35">
      <c r="D3368" s="63"/>
      <c r="S3368" s="63"/>
      <c r="T3368" s="63"/>
    </row>
    <row r="3369" spans="4:20" x14ac:dyDescent="0.35">
      <c r="D3369" s="63"/>
      <c r="S3369" s="63"/>
      <c r="T3369" s="63"/>
    </row>
    <row r="3370" spans="4:20" x14ac:dyDescent="0.35">
      <c r="D3370" s="63"/>
      <c r="S3370" s="63"/>
      <c r="T3370" s="63"/>
    </row>
    <row r="3371" spans="4:20" x14ac:dyDescent="0.35">
      <c r="D3371" s="63"/>
      <c r="S3371" s="63"/>
      <c r="T3371" s="63"/>
    </row>
    <row r="3372" spans="4:20" x14ac:dyDescent="0.35">
      <c r="D3372" s="63"/>
      <c r="S3372" s="63"/>
      <c r="T3372" s="63"/>
    </row>
    <row r="3373" spans="4:20" x14ac:dyDescent="0.35">
      <c r="D3373" s="63"/>
      <c r="S3373" s="63"/>
      <c r="T3373" s="63"/>
    </row>
    <row r="3374" spans="4:20" x14ac:dyDescent="0.35">
      <c r="D3374" s="63"/>
      <c r="S3374" s="63"/>
      <c r="T3374" s="63"/>
    </row>
    <row r="3375" spans="4:20" x14ac:dyDescent="0.35">
      <c r="D3375" s="63"/>
      <c r="S3375" s="63"/>
      <c r="T3375" s="63"/>
    </row>
    <row r="3376" spans="4:20" x14ac:dyDescent="0.35">
      <c r="D3376" s="63"/>
      <c r="S3376" s="63"/>
      <c r="T3376" s="63"/>
    </row>
    <row r="3377" spans="4:20" x14ac:dyDescent="0.35">
      <c r="D3377" s="63"/>
      <c r="S3377" s="63"/>
      <c r="T3377" s="63"/>
    </row>
    <row r="3378" spans="4:20" x14ac:dyDescent="0.35">
      <c r="D3378" s="63"/>
      <c r="S3378" s="63"/>
      <c r="T3378" s="63"/>
    </row>
    <row r="3379" spans="4:20" x14ac:dyDescent="0.35">
      <c r="D3379" s="63"/>
      <c r="S3379" s="63"/>
      <c r="T3379" s="63"/>
    </row>
    <row r="3380" spans="4:20" x14ac:dyDescent="0.35">
      <c r="D3380" s="63"/>
      <c r="S3380" s="63"/>
      <c r="T3380" s="63"/>
    </row>
    <row r="3381" spans="4:20" x14ac:dyDescent="0.35">
      <c r="D3381" s="63"/>
      <c r="S3381" s="63"/>
      <c r="T3381" s="63"/>
    </row>
    <row r="3382" spans="4:20" x14ac:dyDescent="0.35">
      <c r="D3382" s="63"/>
      <c r="S3382" s="63"/>
      <c r="T3382" s="63"/>
    </row>
    <row r="3383" spans="4:20" x14ac:dyDescent="0.35">
      <c r="D3383" s="63"/>
      <c r="S3383" s="63"/>
      <c r="T3383" s="63"/>
    </row>
    <row r="3384" spans="4:20" x14ac:dyDescent="0.35">
      <c r="D3384" s="63"/>
      <c r="S3384" s="63"/>
      <c r="T3384" s="63"/>
    </row>
    <row r="3385" spans="4:20" x14ac:dyDescent="0.35">
      <c r="D3385" s="63"/>
      <c r="S3385" s="63"/>
      <c r="T3385" s="63"/>
    </row>
    <row r="3386" spans="4:20" x14ac:dyDescent="0.35">
      <c r="D3386" s="63"/>
      <c r="S3386" s="63"/>
      <c r="T3386" s="63"/>
    </row>
    <row r="3387" spans="4:20" x14ac:dyDescent="0.35">
      <c r="D3387" s="63"/>
      <c r="S3387" s="63"/>
      <c r="T3387" s="63"/>
    </row>
    <row r="3388" spans="4:20" x14ac:dyDescent="0.35">
      <c r="D3388" s="63"/>
      <c r="S3388" s="63"/>
      <c r="T3388" s="63"/>
    </row>
    <row r="3389" spans="4:20" x14ac:dyDescent="0.35">
      <c r="D3389" s="63"/>
      <c r="S3389" s="63"/>
      <c r="T3389" s="63"/>
    </row>
    <row r="3390" spans="4:20" x14ac:dyDescent="0.35">
      <c r="D3390" s="63"/>
      <c r="S3390" s="63"/>
      <c r="T3390" s="63"/>
    </row>
    <row r="3391" spans="4:20" x14ac:dyDescent="0.35">
      <c r="D3391" s="63"/>
      <c r="S3391" s="63"/>
      <c r="T3391" s="63"/>
    </row>
    <row r="3392" spans="4:20" x14ac:dyDescent="0.35">
      <c r="D3392" s="63"/>
      <c r="S3392" s="63"/>
      <c r="T3392" s="63"/>
    </row>
    <row r="3393" spans="4:20" x14ac:dyDescent="0.35">
      <c r="D3393" s="63"/>
      <c r="S3393" s="63"/>
      <c r="T3393" s="63"/>
    </row>
    <row r="3394" spans="4:20" x14ac:dyDescent="0.35">
      <c r="D3394" s="63"/>
      <c r="S3394" s="63"/>
      <c r="T3394" s="63"/>
    </row>
    <row r="3395" spans="4:20" x14ac:dyDescent="0.35">
      <c r="D3395" s="63"/>
      <c r="S3395" s="63"/>
      <c r="T3395" s="63"/>
    </row>
    <row r="3396" spans="4:20" x14ac:dyDescent="0.35">
      <c r="D3396" s="63"/>
      <c r="S3396" s="63"/>
      <c r="T3396" s="63"/>
    </row>
    <row r="3397" spans="4:20" x14ac:dyDescent="0.35">
      <c r="D3397" s="63"/>
      <c r="S3397" s="63"/>
      <c r="T3397" s="63"/>
    </row>
    <row r="3398" spans="4:20" x14ac:dyDescent="0.35">
      <c r="D3398" s="63"/>
      <c r="S3398" s="63"/>
      <c r="T3398" s="63"/>
    </row>
    <row r="3399" spans="4:20" x14ac:dyDescent="0.35">
      <c r="D3399" s="63"/>
      <c r="S3399" s="63"/>
      <c r="T3399" s="63"/>
    </row>
    <row r="3400" spans="4:20" x14ac:dyDescent="0.35">
      <c r="D3400" s="63"/>
      <c r="S3400" s="63"/>
      <c r="T3400" s="63"/>
    </row>
    <row r="3401" spans="4:20" x14ac:dyDescent="0.35">
      <c r="D3401" s="63"/>
      <c r="S3401" s="63"/>
      <c r="T3401" s="63"/>
    </row>
    <row r="3402" spans="4:20" x14ac:dyDescent="0.35">
      <c r="D3402" s="63"/>
      <c r="S3402" s="63"/>
      <c r="T3402" s="63"/>
    </row>
    <row r="3403" spans="4:20" x14ac:dyDescent="0.35">
      <c r="D3403" s="63"/>
      <c r="S3403" s="63"/>
      <c r="T3403" s="63"/>
    </row>
    <row r="3404" spans="4:20" x14ac:dyDescent="0.35">
      <c r="D3404" s="63"/>
      <c r="S3404" s="63"/>
      <c r="T3404" s="63"/>
    </row>
    <row r="3405" spans="4:20" x14ac:dyDescent="0.35">
      <c r="D3405" s="63"/>
      <c r="S3405" s="63"/>
      <c r="T3405" s="63"/>
    </row>
    <row r="3406" spans="4:20" x14ac:dyDescent="0.35">
      <c r="D3406" s="63"/>
      <c r="S3406" s="63"/>
      <c r="T3406" s="63"/>
    </row>
    <row r="3407" spans="4:20" x14ac:dyDescent="0.35">
      <c r="D3407" s="63"/>
      <c r="S3407" s="63"/>
      <c r="T3407" s="63"/>
    </row>
    <row r="3408" spans="4:20" x14ac:dyDescent="0.35">
      <c r="D3408" s="63"/>
      <c r="S3408" s="63"/>
      <c r="T3408" s="63"/>
    </row>
    <row r="3409" spans="4:20" x14ac:dyDescent="0.35">
      <c r="D3409" s="63"/>
      <c r="S3409" s="63"/>
      <c r="T3409" s="63"/>
    </row>
    <row r="3410" spans="4:20" x14ac:dyDescent="0.35">
      <c r="D3410" s="63"/>
      <c r="S3410" s="63"/>
      <c r="T3410" s="63"/>
    </row>
    <row r="3411" spans="4:20" x14ac:dyDescent="0.35">
      <c r="D3411" s="63"/>
      <c r="S3411" s="63"/>
      <c r="T3411" s="63"/>
    </row>
    <row r="3412" spans="4:20" x14ac:dyDescent="0.35">
      <c r="D3412" s="63"/>
      <c r="S3412" s="63"/>
      <c r="T3412" s="63"/>
    </row>
    <row r="3413" spans="4:20" x14ac:dyDescent="0.35">
      <c r="D3413" s="63"/>
      <c r="S3413" s="63"/>
      <c r="T3413" s="63"/>
    </row>
    <row r="3414" spans="4:20" x14ac:dyDescent="0.35">
      <c r="D3414" s="63"/>
      <c r="S3414" s="63"/>
      <c r="T3414" s="63"/>
    </row>
    <row r="3415" spans="4:20" x14ac:dyDescent="0.35">
      <c r="D3415" s="63"/>
      <c r="S3415" s="63"/>
      <c r="T3415" s="63"/>
    </row>
    <row r="3416" spans="4:20" x14ac:dyDescent="0.35">
      <c r="D3416" s="63"/>
      <c r="S3416" s="63"/>
      <c r="T3416" s="63"/>
    </row>
    <row r="3417" spans="4:20" x14ac:dyDescent="0.35">
      <c r="D3417" s="63"/>
      <c r="S3417" s="63"/>
      <c r="T3417" s="63"/>
    </row>
    <row r="3418" spans="4:20" x14ac:dyDescent="0.35">
      <c r="D3418" s="63"/>
      <c r="S3418" s="63"/>
      <c r="T3418" s="63"/>
    </row>
    <row r="3419" spans="4:20" x14ac:dyDescent="0.35">
      <c r="D3419" s="63"/>
      <c r="S3419" s="63"/>
      <c r="T3419" s="63"/>
    </row>
    <row r="3420" spans="4:20" x14ac:dyDescent="0.35">
      <c r="D3420" s="63"/>
      <c r="S3420" s="63"/>
      <c r="T3420" s="63"/>
    </row>
    <row r="3421" spans="4:20" x14ac:dyDescent="0.35">
      <c r="D3421" s="63"/>
      <c r="S3421" s="63"/>
      <c r="T3421" s="63"/>
    </row>
    <row r="3422" spans="4:20" x14ac:dyDescent="0.35">
      <c r="D3422" s="63"/>
      <c r="S3422" s="63"/>
      <c r="T3422" s="63"/>
    </row>
    <row r="3423" spans="4:20" x14ac:dyDescent="0.35">
      <c r="D3423" s="63"/>
      <c r="S3423" s="63"/>
      <c r="T3423" s="63"/>
    </row>
    <row r="3424" spans="4:20" x14ac:dyDescent="0.35">
      <c r="D3424" s="63"/>
      <c r="S3424" s="63"/>
      <c r="T3424" s="63"/>
    </row>
    <row r="3425" spans="4:20" x14ac:dyDescent="0.35">
      <c r="D3425" s="63"/>
      <c r="S3425" s="63"/>
      <c r="T3425" s="63"/>
    </row>
    <row r="3426" spans="4:20" x14ac:dyDescent="0.35">
      <c r="D3426" s="63"/>
      <c r="S3426" s="63"/>
      <c r="T3426" s="63"/>
    </row>
    <row r="3427" spans="4:20" x14ac:dyDescent="0.35">
      <c r="D3427" s="63"/>
      <c r="S3427" s="63"/>
      <c r="T3427" s="63"/>
    </row>
    <row r="3428" spans="4:20" x14ac:dyDescent="0.35">
      <c r="D3428" s="63"/>
      <c r="S3428" s="63"/>
      <c r="T3428" s="63"/>
    </row>
    <row r="3429" spans="4:20" x14ac:dyDescent="0.35">
      <c r="D3429" s="63"/>
      <c r="S3429" s="63"/>
      <c r="T3429" s="63"/>
    </row>
    <row r="3430" spans="4:20" x14ac:dyDescent="0.35">
      <c r="D3430" s="63"/>
      <c r="S3430" s="63"/>
      <c r="T3430" s="63"/>
    </row>
    <row r="3431" spans="4:20" x14ac:dyDescent="0.35">
      <c r="D3431" s="63"/>
      <c r="S3431" s="63"/>
      <c r="T3431" s="63"/>
    </row>
    <row r="3432" spans="4:20" x14ac:dyDescent="0.35">
      <c r="D3432" s="63"/>
      <c r="S3432" s="63"/>
      <c r="T3432" s="63"/>
    </row>
    <row r="3433" spans="4:20" x14ac:dyDescent="0.35">
      <c r="D3433" s="63"/>
      <c r="S3433" s="63"/>
      <c r="T3433" s="63"/>
    </row>
    <row r="3434" spans="4:20" x14ac:dyDescent="0.35">
      <c r="D3434" s="63"/>
      <c r="S3434" s="63"/>
      <c r="T3434" s="63"/>
    </row>
    <row r="3435" spans="4:20" x14ac:dyDescent="0.35">
      <c r="D3435" s="63"/>
      <c r="S3435" s="63"/>
      <c r="T3435" s="63"/>
    </row>
    <row r="3436" spans="4:20" x14ac:dyDescent="0.35">
      <c r="D3436" s="63"/>
      <c r="S3436" s="63"/>
      <c r="T3436" s="63"/>
    </row>
    <row r="3437" spans="4:20" x14ac:dyDescent="0.35">
      <c r="D3437" s="63"/>
      <c r="S3437" s="63"/>
      <c r="T3437" s="63"/>
    </row>
    <row r="3438" spans="4:20" x14ac:dyDescent="0.35">
      <c r="D3438" s="63"/>
      <c r="S3438" s="63"/>
      <c r="T3438" s="63"/>
    </row>
    <row r="3439" spans="4:20" x14ac:dyDescent="0.35">
      <c r="D3439" s="63"/>
      <c r="S3439" s="63"/>
      <c r="T3439" s="63"/>
    </row>
    <row r="3440" spans="4:20" x14ac:dyDescent="0.35">
      <c r="D3440" s="63"/>
      <c r="S3440" s="63"/>
      <c r="T3440" s="63"/>
    </row>
    <row r="3441" spans="4:20" x14ac:dyDescent="0.35">
      <c r="D3441" s="63"/>
      <c r="S3441" s="63"/>
      <c r="T3441" s="63"/>
    </row>
    <row r="3442" spans="4:20" x14ac:dyDescent="0.35">
      <c r="D3442" s="63"/>
      <c r="S3442" s="63"/>
      <c r="T3442" s="63"/>
    </row>
    <row r="3443" spans="4:20" x14ac:dyDescent="0.35">
      <c r="D3443" s="63"/>
      <c r="S3443" s="63"/>
      <c r="T3443" s="63"/>
    </row>
    <row r="3444" spans="4:20" x14ac:dyDescent="0.35">
      <c r="D3444" s="63"/>
      <c r="S3444" s="63"/>
      <c r="T3444" s="63"/>
    </row>
    <row r="3445" spans="4:20" x14ac:dyDescent="0.35">
      <c r="D3445" s="63"/>
      <c r="S3445" s="63"/>
      <c r="T3445" s="63"/>
    </row>
    <row r="3446" spans="4:20" x14ac:dyDescent="0.35">
      <c r="D3446" s="63"/>
      <c r="S3446" s="63"/>
      <c r="T3446" s="63"/>
    </row>
    <row r="3447" spans="4:20" x14ac:dyDescent="0.35">
      <c r="D3447" s="63"/>
      <c r="S3447" s="63"/>
      <c r="T3447" s="63"/>
    </row>
    <row r="3448" spans="4:20" x14ac:dyDescent="0.35">
      <c r="D3448" s="63"/>
      <c r="S3448" s="63"/>
      <c r="T3448" s="63"/>
    </row>
    <row r="3449" spans="4:20" x14ac:dyDescent="0.35">
      <c r="D3449" s="63"/>
      <c r="S3449" s="63"/>
      <c r="T3449" s="63"/>
    </row>
    <row r="3450" spans="4:20" x14ac:dyDescent="0.35">
      <c r="D3450" s="63"/>
      <c r="S3450" s="63"/>
      <c r="T3450" s="63"/>
    </row>
    <row r="3451" spans="4:20" x14ac:dyDescent="0.35">
      <c r="D3451" s="63"/>
      <c r="S3451" s="63"/>
      <c r="T3451" s="63"/>
    </row>
    <row r="3452" spans="4:20" x14ac:dyDescent="0.35">
      <c r="D3452" s="63"/>
      <c r="S3452" s="63"/>
      <c r="T3452" s="63"/>
    </row>
    <row r="3453" spans="4:20" x14ac:dyDescent="0.35">
      <c r="D3453" s="63"/>
      <c r="S3453" s="63"/>
      <c r="T3453" s="63"/>
    </row>
    <row r="3454" spans="4:20" x14ac:dyDescent="0.35">
      <c r="D3454" s="63"/>
      <c r="S3454" s="63"/>
      <c r="T3454" s="63"/>
    </row>
    <row r="3455" spans="4:20" x14ac:dyDescent="0.35">
      <c r="D3455" s="63"/>
      <c r="S3455" s="63"/>
      <c r="T3455" s="63"/>
    </row>
    <row r="3456" spans="4:20" x14ac:dyDescent="0.35">
      <c r="D3456" s="63"/>
      <c r="S3456" s="63"/>
      <c r="T3456" s="63"/>
    </row>
    <row r="3457" spans="4:20" x14ac:dyDescent="0.35">
      <c r="D3457" s="63"/>
      <c r="S3457" s="63"/>
      <c r="T3457" s="63"/>
    </row>
    <row r="3458" spans="4:20" x14ac:dyDescent="0.35">
      <c r="D3458" s="63"/>
      <c r="S3458" s="63"/>
      <c r="T3458" s="63"/>
    </row>
    <row r="3459" spans="4:20" x14ac:dyDescent="0.35">
      <c r="D3459" s="63"/>
      <c r="S3459" s="63"/>
      <c r="T3459" s="63"/>
    </row>
    <row r="3460" spans="4:20" x14ac:dyDescent="0.35">
      <c r="D3460" s="63"/>
      <c r="S3460" s="63"/>
      <c r="T3460" s="63"/>
    </row>
    <row r="3461" spans="4:20" x14ac:dyDescent="0.35">
      <c r="D3461" s="63"/>
      <c r="S3461" s="63"/>
      <c r="T3461" s="63"/>
    </row>
    <row r="3462" spans="4:20" x14ac:dyDescent="0.35">
      <c r="D3462" s="63"/>
      <c r="S3462" s="63"/>
      <c r="T3462" s="63"/>
    </row>
    <row r="3463" spans="4:20" x14ac:dyDescent="0.35">
      <c r="D3463" s="63"/>
      <c r="S3463" s="63"/>
      <c r="T3463" s="63"/>
    </row>
    <row r="3464" spans="4:20" x14ac:dyDescent="0.35">
      <c r="D3464" s="63"/>
      <c r="S3464" s="63"/>
      <c r="T3464" s="63"/>
    </row>
    <row r="3465" spans="4:20" x14ac:dyDescent="0.35">
      <c r="D3465" s="63"/>
      <c r="S3465" s="63"/>
      <c r="T3465" s="63"/>
    </row>
    <row r="3466" spans="4:20" x14ac:dyDescent="0.35">
      <c r="D3466" s="63"/>
      <c r="S3466" s="63"/>
      <c r="T3466" s="63"/>
    </row>
    <row r="3467" spans="4:20" x14ac:dyDescent="0.35">
      <c r="D3467" s="63"/>
      <c r="S3467" s="63"/>
      <c r="T3467" s="63"/>
    </row>
    <row r="3468" spans="4:20" x14ac:dyDescent="0.35">
      <c r="D3468" s="63"/>
      <c r="S3468" s="63"/>
      <c r="T3468" s="63"/>
    </row>
    <row r="3469" spans="4:20" x14ac:dyDescent="0.35">
      <c r="D3469" s="63"/>
      <c r="S3469" s="63"/>
      <c r="T3469" s="63"/>
    </row>
    <row r="3470" spans="4:20" x14ac:dyDescent="0.35">
      <c r="D3470" s="63"/>
      <c r="S3470" s="63"/>
      <c r="T3470" s="63"/>
    </row>
    <row r="3471" spans="4:20" x14ac:dyDescent="0.35">
      <c r="D3471" s="63"/>
      <c r="S3471" s="63"/>
      <c r="T3471" s="63"/>
    </row>
    <row r="3472" spans="4:20" x14ac:dyDescent="0.35">
      <c r="D3472" s="63"/>
      <c r="S3472" s="63"/>
      <c r="T3472" s="63"/>
    </row>
    <row r="3473" spans="4:20" x14ac:dyDescent="0.35">
      <c r="D3473" s="63"/>
      <c r="S3473" s="63"/>
      <c r="T3473" s="63"/>
    </row>
    <row r="3474" spans="4:20" x14ac:dyDescent="0.35">
      <c r="D3474" s="63"/>
      <c r="S3474" s="63"/>
      <c r="T3474" s="63"/>
    </row>
    <row r="3475" spans="4:20" x14ac:dyDescent="0.35">
      <c r="D3475" s="63"/>
      <c r="S3475" s="63"/>
      <c r="T3475" s="63"/>
    </row>
    <row r="3476" spans="4:20" x14ac:dyDescent="0.35">
      <c r="D3476" s="63"/>
      <c r="S3476" s="63"/>
      <c r="T3476" s="63"/>
    </row>
    <row r="3477" spans="4:20" x14ac:dyDescent="0.35">
      <c r="D3477" s="63"/>
      <c r="S3477" s="63"/>
      <c r="T3477" s="63"/>
    </row>
    <row r="3478" spans="4:20" x14ac:dyDescent="0.35">
      <c r="D3478" s="63"/>
      <c r="S3478" s="63"/>
      <c r="T3478" s="63"/>
    </row>
    <row r="3479" spans="4:20" x14ac:dyDescent="0.35">
      <c r="D3479" s="63"/>
      <c r="S3479" s="63"/>
      <c r="T3479" s="63"/>
    </row>
    <row r="3480" spans="4:20" x14ac:dyDescent="0.35">
      <c r="D3480" s="63"/>
      <c r="S3480" s="63"/>
      <c r="T3480" s="63"/>
    </row>
    <row r="3481" spans="4:20" x14ac:dyDescent="0.35">
      <c r="D3481" s="63"/>
      <c r="S3481" s="63"/>
      <c r="T3481" s="63"/>
    </row>
    <row r="3482" spans="4:20" x14ac:dyDescent="0.35">
      <c r="D3482" s="63"/>
      <c r="S3482" s="63"/>
      <c r="T3482" s="63"/>
    </row>
    <row r="3483" spans="4:20" x14ac:dyDescent="0.35">
      <c r="D3483" s="63"/>
      <c r="S3483" s="63"/>
      <c r="T3483" s="63"/>
    </row>
    <row r="3484" spans="4:20" x14ac:dyDescent="0.35">
      <c r="D3484" s="63"/>
      <c r="S3484" s="63"/>
      <c r="T3484" s="63"/>
    </row>
    <row r="3485" spans="4:20" x14ac:dyDescent="0.35">
      <c r="D3485" s="63"/>
      <c r="S3485" s="63"/>
      <c r="T3485" s="63"/>
    </row>
    <row r="3486" spans="4:20" x14ac:dyDescent="0.35">
      <c r="D3486" s="63"/>
      <c r="S3486" s="63"/>
      <c r="T3486" s="63"/>
    </row>
    <row r="3487" spans="4:20" x14ac:dyDescent="0.35">
      <c r="D3487" s="63"/>
      <c r="S3487" s="63"/>
      <c r="T3487" s="63"/>
    </row>
    <row r="3488" spans="4:20" x14ac:dyDescent="0.35">
      <c r="D3488" s="63"/>
      <c r="S3488" s="63"/>
      <c r="T3488" s="63"/>
    </row>
    <row r="3489" spans="4:20" x14ac:dyDescent="0.35">
      <c r="D3489" s="63"/>
      <c r="S3489" s="63"/>
      <c r="T3489" s="63"/>
    </row>
    <row r="3490" spans="4:20" x14ac:dyDescent="0.35">
      <c r="D3490" s="63"/>
      <c r="S3490" s="63"/>
      <c r="T3490" s="63"/>
    </row>
    <row r="3491" spans="4:20" x14ac:dyDescent="0.35">
      <c r="D3491" s="63"/>
      <c r="S3491" s="63"/>
      <c r="T3491" s="63"/>
    </row>
    <row r="3492" spans="4:20" x14ac:dyDescent="0.35">
      <c r="D3492" s="63"/>
      <c r="S3492" s="63"/>
      <c r="T3492" s="63"/>
    </row>
    <row r="3493" spans="4:20" x14ac:dyDescent="0.35">
      <c r="D3493" s="63"/>
      <c r="S3493" s="63"/>
      <c r="T3493" s="63"/>
    </row>
    <row r="3494" spans="4:20" x14ac:dyDescent="0.35">
      <c r="D3494" s="63"/>
      <c r="S3494" s="63"/>
      <c r="T3494" s="63"/>
    </row>
    <row r="3495" spans="4:20" x14ac:dyDescent="0.35">
      <c r="D3495" s="63"/>
      <c r="S3495" s="63"/>
      <c r="T3495" s="63"/>
    </row>
    <row r="3496" spans="4:20" x14ac:dyDescent="0.35">
      <c r="D3496" s="63"/>
      <c r="S3496" s="63"/>
      <c r="T3496" s="63"/>
    </row>
    <row r="3497" spans="4:20" x14ac:dyDescent="0.35">
      <c r="D3497" s="63"/>
      <c r="S3497" s="63"/>
      <c r="T3497" s="63"/>
    </row>
    <row r="3498" spans="4:20" x14ac:dyDescent="0.35">
      <c r="D3498" s="63"/>
      <c r="S3498" s="63"/>
      <c r="T3498" s="63"/>
    </row>
    <row r="3499" spans="4:20" x14ac:dyDescent="0.35">
      <c r="D3499" s="63"/>
      <c r="S3499" s="63"/>
      <c r="T3499" s="63"/>
    </row>
    <row r="3500" spans="4:20" x14ac:dyDescent="0.35">
      <c r="D3500" s="63"/>
      <c r="S3500" s="63"/>
      <c r="T3500" s="63"/>
    </row>
    <row r="3501" spans="4:20" x14ac:dyDescent="0.35">
      <c r="D3501" s="63"/>
      <c r="S3501" s="63"/>
      <c r="T3501" s="63"/>
    </row>
    <row r="3502" spans="4:20" x14ac:dyDescent="0.35">
      <c r="D3502" s="63"/>
      <c r="S3502" s="63"/>
      <c r="T3502" s="63"/>
    </row>
    <row r="3503" spans="4:20" x14ac:dyDescent="0.35">
      <c r="D3503" s="63"/>
      <c r="S3503" s="63"/>
      <c r="T3503" s="63"/>
    </row>
    <row r="3504" spans="4:20" x14ac:dyDescent="0.35">
      <c r="D3504" s="63"/>
      <c r="S3504" s="63"/>
      <c r="T3504" s="63"/>
    </row>
    <row r="3505" spans="4:20" x14ac:dyDescent="0.35">
      <c r="D3505" s="63"/>
      <c r="S3505" s="63"/>
      <c r="T3505" s="63"/>
    </row>
    <row r="3506" spans="4:20" x14ac:dyDescent="0.35">
      <c r="D3506" s="63"/>
      <c r="S3506" s="63"/>
      <c r="T3506" s="63"/>
    </row>
    <row r="3507" spans="4:20" x14ac:dyDescent="0.35">
      <c r="D3507" s="63"/>
      <c r="S3507" s="63"/>
      <c r="T3507" s="63"/>
    </row>
    <row r="3508" spans="4:20" x14ac:dyDescent="0.35">
      <c r="D3508" s="63"/>
      <c r="S3508" s="63"/>
      <c r="T3508" s="63"/>
    </row>
    <row r="3509" spans="4:20" x14ac:dyDescent="0.35">
      <c r="D3509" s="63"/>
      <c r="S3509" s="63"/>
      <c r="T3509" s="63"/>
    </row>
    <row r="3510" spans="4:20" x14ac:dyDescent="0.35">
      <c r="D3510" s="63"/>
      <c r="S3510" s="63"/>
      <c r="T3510" s="63"/>
    </row>
    <row r="3511" spans="4:20" x14ac:dyDescent="0.35">
      <c r="D3511" s="63"/>
      <c r="S3511" s="63"/>
      <c r="T3511" s="63"/>
    </row>
    <row r="3512" spans="4:20" x14ac:dyDescent="0.35">
      <c r="D3512" s="63"/>
      <c r="S3512" s="63"/>
      <c r="T3512" s="63"/>
    </row>
    <row r="3513" spans="4:20" x14ac:dyDescent="0.35">
      <c r="D3513" s="63"/>
      <c r="S3513" s="63"/>
      <c r="T3513" s="63"/>
    </row>
    <row r="3514" spans="4:20" x14ac:dyDescent="0.35">
      <c r="D3514" s="63"/>
      <c r="S3514" s="63"/>
      <c r="T3514" s="63"/>
    </row>
    <row r="3515" spans="4:20" x14ac:dyDescent="0.35">
      <c r="D3515" s="63"/>
      <c r="S3515" s="63"/>
      <c r="T3515" s="63"/>
    </row>
    <row r="3516" spans="4:20" x14ac:dyDescent="0.35">
      <c r="D3516" s="63"/>
      <c r="S3516" s="63"/>
      <c r="T3516" s="63"/>
    </row>
    <row r="3517" spans="4:20" x14ac:dyDescent="0.35">
      <c r="D3517" s="63"/>
      <c r="S3517" s="63"/>
      <c r="T3517" s="63"/>
    </row>
    <row r="3518" spans="4:20" x14ac:dyDescent="0.35">
      <c r="D3518" s="63"/>
      <c r="S3518" s="63"/>
      <c r="T3518" s="63"/>
    </row>
    <row r="3519" spans="4:20" x14ac:dyDescent="0.35">
      <c r="D3519" s="63"/>
      <c r="S3519" s="63"/>
      <c r="T3519" s="63"/>
    </row>
    <row r="3520" spans="4:20" x14ac:dyDescent="0.35">
      <c r="D3520" s="63"/>
      <c r="S3520" s="63"/>
      <c r="T3520" s="63"/>
    </row>
    <row r="3521" spans="4:20" x14ac:dyDescent="0.35">
      <c r="D3521" s="63"/>
      <c r="S3521" s="63"/>
      <c r="T3521" s="63"/>
    </row>
    <row r="3522" spans="4:20" x14ac:dyDescent="0.35">
      <c r="D3522" s="63"/>
      <c r="S3522" s="63"/>
      <c r="T3522" s="63"/>
    </row>
    <row r="3523" spans="4:20" x14ac:dyDescent="0.35">
      <c r="D3523" s="63"/>
      <c r="S3523" s="63"/>
      <c r="T3523" s="63"/>
    </row>
    <row r="3524" spans="4:20" x14ac:dyDescent="0.35">
      <c r="D3524" s="63"/>
      <c r="S3524" s="63"/>
      <c r="T3524" s="63"/>
    </row>
    <row r="3525" spans="4:20" x14ac:dyDescent="0.35">
      <c r="D3525" s="63"/>
      <c r="S3525" s="63"/>
      <c r="T3525" s="63"/>
    </row>
    <row r="3526" spans="4:20" x14ac:dyDescent="0.35">
      <c r="D3526" s="63"/>
      <c r="S3526" s="63"/>
      <c r="T3526" s="63"/>
    </row>
    <row r="3527" spans="4:20" x14ac:dyDescent="0.35">
      <c r="D3527" s="63"/>
      <c r="S3527" s="63"/>
      <c r="T3527" s="63"/>
    </row>
    <row r="3528" spans="4:20" x14ac:dyDescent="0.35">
      <c r="D3528" s="63"/>
      <c r="S3528" s="63"/>
      <c r="T3528" s="63"/>
    </row>
    <row r="3529" spans="4:20" x14ac:dyDescent="0.35">
      <c r="D3529" s="63"/>
      <c r="S3529" s="63"/>
      <c r="T3529" s="63"/>
    </row>
    <row r="3530" spans="4:20" x14ac:dyDescent="0.35">
      <c r="D3530" s="63"/>
      <c r="S3530" s="63"/>
      <c r="T3530" s="63"/>
    </row>
    <row r="3531" spans="4:20" x14ac:dyDescent="0.35">
      <c r="D3531" s="63"/>
      <c r="S3531" s="63"/>
      <c r="T3531" s="63"/>
    </row>
    <row r="3532" spans="4:20" x14ac:dyDescent="0.35">
      <c r="D3532" s="63"/>
      <c r="S3532" s="63"/>
      <c r="T3532" s="63"/>
    </row>
    <row r="3533" spans="4:20" x14ac:dyDescent="0.35">
      <c r="D3533" s="63"/>
      <c r="S3533" s="63"/>
      <c r="T3533" s="63"/>
    </row>
    <row r="3534" spans="4:20" x14ac:dyDescent="0.35">
      <c r="D3534" s="63"/>
      <c r="S3534" s="63"/>
      <c r="T3534" s="63"/>
    </row>
    <row r="3535" spans="4:20" x14ac:dyDescent="0.35">
      <c r="D3535" s="63"/>
      <c r="S3535" s="63"/>
      <c r="T3535" s="63"/>
    </row>
    <row r="3536" spans="4:20" x14ac:dyDescent="0.35">
      <c r="D3536" s="63"/>
      <c r="S3536" s="63"/>
      <c r="T3536" s="63"/>
    </row>
    <row r="3537" spans="4:20" x14ac:dyDescent="0.35">
      <c r="D3537" s="63"/>
      <c r="S3537" s="63"/>
      <c r="T3537" s="63"/>
    </row>
    <row r="3538" spans="4:20" x14ac:dyDescent="0.35">
      <c r="D3538" s="63"/>
      <c r="S3538" s="63"/>
      <c r="T3538" s="63"/>
    </row>
    <row r="3539" spans="4:20" x14ac:dyDescent="0.35">
      <c r="D3539" s="63"/>
      <c r="S3539" s="63"/>
      <c r="T3539" s="63"/>
    </row>
    <row r="3540" spans="4:20" x14ac:dyDescent="0.35">
      <c r="D3540" s="63"/>
      <c r="S3540" s="63"/>
      <c r="T3540" s="63"/>
    </row>
    <row r="3541" spans="4:20" x14ac:dyDescent="0.35">
      <c r="D3541" s="63"/>
      <c r="S3541" s="63"/>
      <c r="T3541" s="63"/>
    </row>
    <row r="3542" spans="4:20" x14ac:dyDescent="0.35">
      <c r="D3542" s="63"/>
      <c r="S3542" s="63"/>
      <c r="T3542" s="63"/>
    </row>
    <row r="3543" spans="4:20" x14ac:dyDescent="0.35">
      <c r="D3543" s="63"/>
      <c r="S3543" s="63"/>
      <c r="T3543" s="63"/>
    </row>
    <row r="3544" spans="4:20" x14ac:dyDescent="0.35">
      <c r="D3544" s="63"/>
      <c r="S3544" s="63"/>
      <c r="T3544" s="63"/>
    </row>
    <row r="3545" spans="4:20" x14ac:dyDescent="0.35">
      <c r="D3545" s="63"/>
      <c r="S3545" s="63"/>
      <c r="T3545" s="63"/>
    </row>
    <row r="3546" spans="4:20" x14ac:dyDescent="0.35">
      <c r="D3546" s="63"/>
      <c r="S3546" s="63"/>
      <c r="T3546" s="63"/>
    </row>
    <row r="3547" spans="4:20" x14ac:dyDescent="0.35">
      <c r="D3547" s="63"/>
      <c r="S3547" s="63"/>
      <c r="T3547" s="63"/>
    </row>
    <row r="3548" spans="4:20" x14ac:dyDescent="0.35">
      <c r="D3548" s="63"/>
      <c r="S3548" s="63"/>
      <c r="T3548" s="63"/>
    </row>
    <row r="3549" spans="4:20" x14ac:dyDescent="0.35">
      <c r="D3549" s="63"/>
      <c r="S3549" s="63"/>
      <c r="T3549" s="63"/>
    </row>
    <row r="3550" spans="4:20" x14ac:dyDescent="0.35">
      <c r="D3550" s="63"/>
      <c r="S3550" s="63"/>
      <c r="T3550" s="63"/>
    </row>
    <row r="3551" spans="4:20" x14ac:dyDescent="0.35">
      <c r="D3551" s="63"/>
      <c r="S3551" s="63"/>
      <c r="T3551" s="63"/>
    </row>
    <row r="3552" spans="4:20" x14ac:dyDescent="0.35">
      <c r="D3552" s="63"/>
      <c r="S3552" s="63"/>
      <c r="T3552" s="63"/>
    </row>
    <row r="3553" spans="4:20" x14ac:dyDescent="0.35">
      <c r="D3553" s="63"/>
      <c r="S3553" s="63"/>
      <c r="T3553" s="63"/>
    </row>
    <row r="3554" spans="4:20" x14ac:dyDescent="0.35">
      <c r="D3554" s="63"/>
      <c r="S3554" s="63"/>
      <c r="T3554" s="63"/>
    </row>
    <row r="3555" spans="4:20" x14ac:dyDescent="0.35">
      <c r="D3555" s="63"/>
      <c r="S3555" s="63"/>
      <c r="T3555" s="63"/>
    </row>
    <row r="3556" spans="4:20" x14ac:dyDescent="0.35">
      <c r="D3556" s="63"/>
      <c r="S3556" s="63"/>
      <c r="T3556" s="63"/>
    </row>
    <row r="3557" spans="4:20" x14ac:dyDescent="0.35">
      <c r="D3557" s="63"/>
      <c r="S3557" s="63"/>
      <c r="T3557" s="63"/>
    </row>
    <row r="3558" spans="4:20" x14ac:dyDescent="0.35">
      <c r="D3558" s="63"/>
      <c r="S3558" s="63"/>
      <c r="T3558" s="63"/>
    </row>
    <row r="3559" spans="4:20" x14ac:dyDescent="0.35">
      <c r="D3559" s="63"/>
      <c r="S3559" s="63"/>
      <c r="T3559" s="63"/>
    </row>
    <row r="3560" spans="4:20" x14ac:dyDescent="0.35">
      <c r="D3560" s="63"/>
      <c r="S3560" s="63"/>
      <c r="T3560" s="63"/>
    </row>
    <row r="3561" spans="4:20" x14ac:dyDescent="0.35">
      <c r="D3561" s="63"/>
      <c r="S3561" s="63"/>
      <c r="T3561" s="63"/>
    </row>
    <row r="3562" spans="4:20" x14ac:dyDescent="0.35">
      <c r="D3562" s="63"/>
      <c r="S3562" s="63"/>
      <c r="T3562" s="63"/>
    </row>
    <row r="3563" spans="4:20" x14ac:dyDescent="0.35">
      <c r="D3563" s="63"/>
      <c r="S3563" s="63"/>
      <c r="T3563" s="63"/>
    </row>
    <row r="3564" spans="4:20" x14ac:dyDescent="0.35">
      <c r="D3564" s="63"/>
      <c r="S3564" s="63"/>
      <c r="T3564" s="63"/>
    </row>
    <row r="3565" spans="4:20" x14ac:dyDescent="0.35">
      <c r="D3565" s="63"/>
      <c r="S3565" s="63"/>
      <c r="T3565" s="63"/>
    </row>
    <row r="3566" spans="4:20" x14ac:dyDescent="0.35">
      <c r="D3566" s="63"/>
      <c r="S3566" s="63"/>
      <c r="T3566" s="63"/>
    </row>
    <row r="3567" spans="4:20" x14ac:dyDescent="0.35">
      <c r="D3567" s="63"/>
      <c r="S3567" s="63"/>
      <c r="T3567" s="63"/>
    </row>
    <row r="3568" spans="4:20" x14ac:dyDescent="0.35">
      <c r="D3568" s="63"/>
      <c r="S3568" s="63"/>
      <c r="T3568" s="63"/>
    </row>
    <row r="3569" spans="4:20" x14ac:dyDescent="0.35">
      <c r="D3569" s="63"/>
      <c r="S3569" s="63"/>
      <c r="T3569" s="63"/>
    </row>
    <row r="3570" spans="4:20" x14ac:dyDescent="0.35">
      <c r="D3570" s="63"/>
      <c r="S3570" s="63"/>
      <c r="T3570" s="63"/>
    </row>
    <row r="3571" spans="4:20" x14ac:dyDescent="0.35">
      <c r="D3571" s="63"/>
      <c r="S3571" s="63"/>
      <c r="T3571" s="63"/>
    </row>
    <row r="3572" spans="4:20" x14ac:dyDescent="0.35">
      <c r="D3572" s="63"/>
      <c r="S3572" s="63"/>
      <c r="T3572" s="63"/>
    </row>
    <row r="3573" spans="4:20" x14ac:dyDescent="0.35">
      <c r="D3573" s="63"/>
      <c r="S3573" s="63"/>
      <c r="T3573" s="63"/>
    </row>
    <row r="3574" spans="4:20" x14ac:dyDescent="0.35">
      <c r="D3574" s="63"/>
      <c r="S3574" s="63"/>
      <c r="T3574" s="63"/>
    </row>
    <row r="3575" spans="4:20" x14ac:dyDescent="0.35">
      <c r="D3575" s="63"/>
      <c r="S3575" s="63"/>
      <c r="T3575" s="63"/>
    </row>
    <row r="3576" spans="4:20" x14ac:dyDescent="0.35">
      <c r="D3576" s="63"/>
      <c r="S3576" s="63"/>
      <c r="T3576" s="63"/>
    </row>
    <row r="3577" spans="4:20" x14ac:dyDescent="0.35">
      <c r="D3577" s="63"/>
      <c r="S3577" s="63"/>
      <c r="T3577" s="63"/>
    </row>
    <row r="3578" spans="4:20" x14ac:dyDescent="0.35">
      <c r="D3578" s="63"/>
      <c r="S3578" s="63"/>
      <c r="T3578" s="63"/>
    </row>
    <row r="3579" spans="4:20" x14ac:dyDescent="0.35">
      <c r="D3579" s="63"/>
      <c r="S3579" s="63"/>
      <c r="T3579" s="63"/>
    </row>
    <row r="3580" spans="4:20" x14ac:dyDescent="0.35">
      <c r="D3580" s="63"/>
      <c r="S3580" s="63"/>
      <c r="T3580" s="63"/>
    </row>
    <row r="3581" spans="4:20" x14ac:dyDescent="0.35">
      <c r="D3581" s="63"/>
      <c r="S3581" s="63"/>
      <c r="T3581" s="63"/>
    </row>
    <row r="3582" spans="4:20" x14ac:dyDescent="0.35">
      <c r="D3582" s="63"/>
      <c r="S3582" s="63"/>
      <c r="T3582" s="63"/>
    </row>
    <row r="3583" spans="4:20" x14ac:dyDescent="0.35">
      <c r="D3583" s="63"/>
      <c r="S3583" s="63"/>
      <c r="T3583" s="63"/>
    </row>
    <row r="3584" spans="4:20" x14ac:dyDescent="0.35">
      <c r="D3584" s="63"/>
      <c r="S3584" s="63"/>
      <c r="T3584" s="63"/>
    </row>
    <row r="3585" spans="4:20" x14ac:dyDescent="0.35">
      <c r="D3585" s="63"/>
      <c r="S3585" s="63"/>
      <c r="T3585" s="63"/>
    </row>
    <row r="3586" spans="4:20" x14ac:dyDescent="0.35">
      <c r="D3586" s="63"/>
      <c r="S3586" s="63"/>
      <c r="T3586" s="63"/>
    </row>
    <row r="3587" spans="4:20" x14ac:dyDescent="0.35">
      <c r="D3587" s="63"/>
      <c r="S3587" s="63"/>
      <c r="T3587" s="63"/>
    </row>
    <row r="3588" spans="4:20" x14ac:dyDescent="0.35">
      <c r="D3588" s="63"/>
      <c r="S3588" s="63"/>
      <c r="T3588" s="63"/>
    </row>
    <row r="3589" spans="4:20" x14ac:dyDescent="0.35">
      <c r="D3589" s="63"/>
      <c r="S3589" s="63"/>
      <c r="T3589" s="63"/>
    </row>
    <row r="3590" spans="4:20" x14ac:dyDescent="0.35">
      <c r="D3590" s="63"/>
      <c r="S3590" s="63"/>
      <c r="T3590" s="63"/>
    </row>
    <row r="3591" spans="4:20" x14ac:dyDescent="0.35">
      <c r="D3591" s="63"/>
      <c r="S3591" s="63"/>
      <c r="T3591" s="63"/>
    </row>
    <row r="3592" spans="4:20" x14ac:dyDescent="0.35">
      <c r="D3592" s="63"/>
      <c r="S3592" s="63"/>
      <c r="T3592" s="63"/>
    </row>
    <row r="3593" spans="4:20" x14ac:dyDescent="0.35">
      <c r="D3593" s="63"/>
      <c r="S3593" s="63"/>
      <c r="T3593" s="63"/>
    </row>
    <row r="3594" spans="4:20" x14ac:dyDescent="0.35">
      <c r="D3594" s="63"/>
      <c r="S3594" s="63"/>
      <c r="T3594" s="63"/>
    </row>
    <row r="3595" spans="4:20" x14ac:dyDescent="0.35">
      <c r="D3595" s="63"/>
      <c r="S3595" s="63"/>
      <c r="T3595" s="63"/>
    </row>
    <row r="3596" spans="4:20" x14ac:dyDescent="0.35">
      <c r="D3596" s="63"/>
      <c r="S3596" s="63"/>
      <c r="T3596" s="63"/>
    </row>
    <row r="3597" spans="4:20" x14ac:dyDescent="0.35">
      <c r="D3597" s="63"/>
      <c r="S3597" s="63"/>
      <c r="T3597" s="63"/>
    </row>
    <row r="3598" spans="4:20" x14ac:dyDescent="0.35">
      <c r="D3598" s="63"/>
      <c r="S3598" s="63"/>
      <c r="T3598" s="63"/>
    </row>
    <row r="3599" spans="4:20" x14ac:dyDescent="0.35">
      <c r="D3599" s="63"/>
      <c r="S3599" s="63"/>
      <c r="T3599" s="63"/>
    </row>
    <row r="3600" spans="4:20" x14ac:dyDescent="0.35">
      <c r="D3600" s="63"/>
      <c r="S3600" s="63"/>
      <c r="T3600" s="63"/>
    </row>
    <row r="3601" spans="4:20" x14ac:dyDescent="0.35">
      <c r="D3601" s="63"/>
      <c r="S3601" s="63"/>
      <c r="T3601" s="63"/>
    </row>
    <row r="3602" spans="4:20" x14ac:dyDescent="0.35">
      <c r="D3602" s="63"/>
      <c r="S3602" s="63"/>
      <c r="T3602" s="63"/>
    </row>
    <row r="3603" spans="4:20" x14ac:dyDescent="0.35">
      <c r="D3603" s="63"/>
      <c r="S3603" s="63"/>
      <c r="T3603" s="63"/>
    </row>
    <row r="3604" spans="4:20" x14ac:dyDescent="0.35">
      <c r="D3604" s="63"/>
      <c r="S3604" s="63"/>
      <c r="T3604" s="63"/>
    </row>
    <row r="3605" spans="4:20" x14ac:dyDescent="0.35">
      <c r="D3605" s="63"/>
      <c r="S3605" s="63"/>
      <c r="T3605" s="63"/>
    </row>
    <row r="3606" spans="4:20" x14ac:dyDescent="0.35">
      <c r="D3606" s="63"/>
      <c r="S3606" s="63"/>
      <c r="T3606" s="63"/>
    </row>
    <row r="3607" spans="4:20" x14ac:dyDescent="0.35">
      <c r="D3607" s="63"/>
      <c r="S3607" s="63"/>
      <c r="T3607" s="63"/>
    </row>
    <row r="3608" spans="4:20" x14ac:dyDescent="0.35">
      <c r="D3608" s="63"/>
      <c r="S3608" s="63"/>
      <c r="T3608" s="63"/>
    </row>
    <row r="3609" spans="4:20" x14ac:dyDescent="0.35">
      <c r="D3609" s="63"/>
      <c r="S3609" s="63"/>
      <c r="T3609" s="63"/>
    </row>
    <row r="3610" spans="4:20" x14ac:dyDescent="0.35">
      <c r="D3610" s="63"/>
      <c r="S3610" s="63"/>
      <c r="T3610" s="63"/>
    </row>
    <row r="3611" spans="4:20" x14ac:dyDescent="0.35">
      <c r="D3611" s="63"/>
      <c r="S3611" s="63"/>
      <c r="T3611" s="63"/>
    </row>
    <row r="3612" spans="4:20" x14ac:dyDescent="0.35">
      <c r="D3612" s="63"/>
      <c r="S3612" s="63"/>
      <c r="T3612" s="63"/>
    </row>
    <row r="3613" spans="4:20" x14ac:dyDescent="0.35">
      <c r="D3613" s="63"/>
      <c r="S3613" s="63"/>
      <c r="T3613" s="63"/>
    </row>
    <row r="3614" spans="4:20" x14ac:dyDescent="0.35">
      <c r="D3614" s="63"/>
      <c r="S3614" s="63"/>
      <c r="T3614" s="63"/>
    </row>
    <row r="3615" spans="4:20" x14ac:dyDescent="0.35">
      <c r="D3615" s="63"/>
      <c r="S3615" s="63"/>
      <c r="T3615" s="63"/>
    </row>
    <row r="3616" spans="4:20" x14ac:dyDescent="0.35">
      <c r="D3616" s="63"/>
      <c r="S3616" s="63"/>
      <c r="T3616" s="63"/>
    </row>
    <row r="3617" spans="4:20" x14ac:dyDescent="0.35">
      <c r="D3617" s="63"/>
      <c r="S3617" s="63"/>
      <c r="T3617" s="63"/>
    </row>
    <row r="3618" spans="4:20" x14ac:dyDescent="0.35">
      <c r="D3618" s="63"/>
      <c r="S3618" s="63"/>
      <c r="T3618" s="63"/>
    </row>
    <row r="3619" spans="4:20" x14ac:dyDescent="0.35">
      <c r="D3619" s="63"/>
      <c r="S3619" s="63"/>
      <c r="T3619" s="63"/>
    </row>
    <row r="3620" spans="4:20" x14ac:dyDescent="0.35">
      <c r="D3620" s="63"/>
      <c r="S3620" s="63"/>
      <c r="T3620" s="63"/>
    </row>
    <row r="3621" spans="4:20" x14ac:dyDescent="0.35">
      <c r="D3621" s="63"/>
      <c r="S3621" s="63"/>
      <c r="T3621" s="63"/>
    </row>
    <row r="3622" spans="4:20" x14ac:dyDescent="0.35">
      <c r="D3622" s="63"/>
      <c r="S3622" s="63"/>
      <c r="T3622" s="63"/>
    </row>
    <row r="3623" spans="4:20" x14ac:dyDescent="0.35">
      <c r="D3623" s="63"/>
      <c r="S3623" s="63"/>
      <c r="T3623" s="63"/>
    </row>
    <row r="3624" spans="4:20" x14ac:dyDescent="0.35">
      <c r="D3624" s="63"/>
      <c r="S3624" s="63"/>
      <c r="T3624" s="63"/>
    </row>
    <row r="3625" spans="4:20" x14ac:dyDescent="0.35">
      <c r="D3625" s="63"/>
      <c r="S3625" s="63"/>
      <c r="T3625" s="63"/>
    </row>
    <row r="3626" spans="4:20" x14ac:dyDescent="0.35">
      <c r="D3626" s="63"/>
      <c r="S3626" s="63"/>
      <c r="T3626" s="63"/>
    </row>
    <row r="3627" spans="4:20" x14ac:dyDescent="0.35">
      <c r="D3627" s="63"/>
      <c r="S3627" s="63"/>
      <c r="T3627" s="63"/>
    </row>
    <row r="3628" spans="4:20" x14ac:dyDescent="0.35">
      <c r="D3628" s="63"/>
      <c r="S3628" s="63"/>
      <c r="T3628" s="63"/>
    </row>
    <row r="3629" spans="4:20" x14ac:dyDescent="0.35">
      <c r="D3629" s="63"/>
      <c r="S3629" s="63"/>
      <c r="T3629" s="63"/>
    </row>
    <row r="3630" spans="4:20" x14ac:dyDescent="0.35">
      <c r="D3630" s="63"/>
      <c r="S3630" s="63"/>
      <c r="T3630" s="63"/>
    </row>
    <row r="3631" spans="4:20" x14ac:dyDescent="0.35">
      <c r="D3631" s="63"/>
      <c r="S3631" s="63"/>
      <c r="T3631" s="63"/>
    </row>
    <row r="3632" spans="4:20" x14ac:dyDescent="0.35">
      <c r="D3632" s="63"/>
      <c r="S3632" s="63"/>
      <c r="T3632" s="63"/>
    </row>
    <row r="3633" spans="4:20" x14ac:dyDescent="0.35">
      <c r="D3633" s="63"/>
      <c r="S3633" s="63"/>
      <c r="T3633" s="63"/>
    </row>
    <row r="3634" spans="4:20" x14ac:dyDescent="0.35">
      <c r="D3634" s="63"/>
      <c r="S3634" s="63"/>
      <c r="T3634" s="63"/>
    </row>
    <row r="3635" spans="4:20" x14ac:dyDescent="0.35">
      <c r="D3635" s="63"/>
      <c r="S3635" s="63"/>
      <c r="T3635" s="63"/>
    </row>
    <row r="3636" spans="4:20" x14ac:dyDescent="0.35">
      <c r="D3636" s="63"/>
      <c r="S3636" s="63"/>
      <c r="T3636" s="63"/>
    </row>
    <row r="3637" spans="4:20" x14ac:dyDescent="0.35">
      <c r="D3637" s="63"/>
      <c r="S3637" s="63"/>
      <c r="T3637" s="63"/>
    </row>
    <row r="3638" spans="4:20" x14ac:dyDescent="0.35">
      <c r="D3638" s="63"/>
      <c r="S3638" s="63"/>
      <c r="T3638" s="63"/>
    </row>
    <row r="3639" spans="4:20" x14ac:dyDescent="0.35">
      <c r="D3639" s="63"/>
      <c r="S3639" s="63"/>
      <c r="T3639" s="63"/>
    </row>
    <row r="3640" spans="4:20" x14ac:dyDescent="0.35">
      <c r="D3640" s="63"/>
      <c r="S3640" s="63"/>
      <c r="T3640" s="63"/>
    </row>
    <row r="3641" spans="4:20" x14ac:dyDescent="0.35">
      <c r="D3641" s="63"/>
      <c r="S3641" s="63"/>
      <c r="T3641" s="63"/>
    </row>
    <row r="3642" spans="4:20" x14ac:dyDescent="0.35">
      <c r="D3642" s="63"/>
      <c r="S3642" s="63"/>
      <c r="T3642" s="63"/>
    </row>
    <row r="3643" spans="4:20" x14ac:dyDescent="0.35">
      <c r="D3643" s="63"/>
      <c r="S3643" s="63"/>
      <c r="T3643" s="63"/>
    </row>
    <row r="3644" spans="4:20" x14ac:dyDescent="0.35">
      <c r="D3644" s="63"/>
      <c r="S3644" s="63"/>
      <c r="T3644" s="63"/>
    </row>
    <row r="3645" spans="4:20" x14ac:dyDescent="0.35">
      <c r="D3645" s="63"/>
      <c r="S3645" s="63"/>
      <c r="T3645" s="63"/>
    </row>
    <row r="3646" spans="4:20" x14ac:dyDescent="0.35">
      <c r="D3646" s="63"/>
      <c r="S3646" s="63"/>
      <c r="T3646" s="63"/>
    </row>
    <row r="3647" spans="4:20" x14ac:dyDescent="0.35">
      <c r="D3647" s="63"/>
      <c r="S3647" s="63"/>
      <c r="T3647" s="63"/>
    </row>
    <row r="3648" spans="4:20" x14ac:dyDescent="0.35">
      <c r="D3648" s="63"/>
      <c r="S3648" s="63"/>
      <c r="T3648" s="63"/>
    </row>
    <row r="3649" spans="4:20" x14ac:dyDescent="0.35">
      <c r="D3649" s="63"/>
      <c r="S3649" s="63"/>
      <c r="T3649" s="63"/>
    </row>
    <row r="3650" spans="4:20" x14ac:dyDescent="0.35">
      <c r="D3650" s="63"/>
      <c r="S3650" s="63"/>
      <c r="T3650" s="63"/>
    </row>
    <row r="3651" spans="4:20" x14ac:dyDescent="0.35">
      <c r="D3651" s="63"/>
      <c r="S3651" s="63"/>
      <c r="T3651" s="63"/>
    </row>
    <row r="3652" spans="4:20" x14ac:dyDescent="0.35">
      <c r="D3652" s="63"/>
      <c r="S3652" s="63"/>
      <c r="T3652" s="63"/>
    </row>
    <row r="3653" spans="4:20" x14ac:dyDescent="0.35">
      <c r="D3653" s="63"/>
      <c r="S3653" s="63"/>
      <c r="T3653" s="63"/>
    </row>
    <row r="3654" spans="4:20" x14ac:dyDescent="0.35">
      <c r="D3654" s="63"/>
      <c r="S3654" s="63"/>
      <c r="T3654" s="63"/>
    </row>
    <row r="3655" spans="4:20" x14ac:dyDescent="0.35">
      <c r="D3655" s="63"/>
      <c r="S3655" s="63"/>
      <c r="T3655" s="63"/>
    </row>
    <row r="3656" spans="4:20" x14ac:dyDescent="0.35">
      <c r="D3656" s="63"/>
      <c r="S3656" s="63"/>
      <c r="T3656" s="63"/>
    </row>
    <row r="3657" spans="4:20" x14ac:dyDescent="0.35">
      <c r="D3657" s="63"/>
      <c r="S3657" s="63"/>
      <c r="T3657" s="63"/>
    </row>
    <row r="3658" spans="4:20" x14ac:dyDescent="0.35">
      <c r="D3658" s="63"/>
      <c r="S3658" s="63"/>
      <c r="T3658" s="63"/>
    </row>
    <row r="3659" spans="4:20" x14ac:dyDescent="0.35">
      <c r="D3659" s="63"/>
      <c r="S3659" s="63"/>
      <c r="T3659" s="63"/>
    </row>
    <row r="3660" spans="4:20" x14ac:dyDescent="0.35">
      <c r="D3660" s="63"/>
      <c r="S3660" s="63"/>
      <c r="T3660" s="63"/>
    </row>
    <row r="3661" spans="4:20" x14ac:dyDescent="0.35">
      <c r="D3661" s="63"/>
      <c r="S3661" s="63"/>
      <c r="T3661" s="63"/>
    </row>
    <row r="3662" spans="4:20" x14ac:dyDescent="0.35">
      <c r="D3662" s="63"/>
      <c r="S3662" s="63"/>
      <c r="T3662" s="63"/>
    </row>
    <row r="3663" spans="4:20" x14ac:dyDescent="0.35">
      <c r="D3663" s="63"/>
      <c r="S3663" s="63"/>
      <c r="T3663" s="63"/>
    </row>
    <row r="3664" spans="4:20" x14ac:dyDescent="0.35">
      <c r="D3664" s="63"/>
      <c r="S3664" s="63"/>
      <c r="T3664" s="63"/>
    </row>
    <row r="3665" spans="4:20" x14ac:dyDescent="0.35">
      <c r="D3665" s="63"/>
      <c r="S3665" s="63"/>
      <c r="T3665" s="63"/>
    </row>
    <row r="3666" spans="4:20" x14ac:dyDescent="0.35">
      <c r="D3666" s="63"/>
      <c r="S3666" s="63"/>
      <c r="T3666" s="63"/>
    </row>
    <row r="3667" spans="4:20" x14ac:dyDescent="0.35">
      <c r="D3667" s="63"/>
      <c r="S3667" s="63"/>
      <c r="T3667" s="63"/>
    </row>
    <row r="3668" spans="4:20" x14ac:dyDescent="0.35">
      <c r="D3668" s="63"/>
      <c r="S3668" s="63"/>
      <c r="T3668" s="63"/>
    </row>
    <row r="3669" spans="4:20" x14ac:dyDescent="0.35">
      <c r="D3669" s="63"/>
      <c r="S3669" s="63"/>
      <c r="T3669" s="63"/>
    </row>
    <row r="3670" spans="4:20" x14ac:dyDescent="0.35">
      <c r="D3670" s="63"/>
      <c r="S3670" s="63"/>
      <c r="T3670" s="63"/>
    </row>
    <row r="3671" spans="4:20" x14ac:dyDescent="0.35">
      <c r="D3671" s="63"/>
      <c r="S3671" s="63"/>
      <c r="T3671" s="63"/>
    </row>
    <row r="3672" spans="4:20" x14ac:dyDescent="0.35">
      <c r="D3672" s="63"/>
      <c r="S3672" s="63"/>
      <c r="T3672" s="63"/>
    </row>
    <row r="3673" spans="4:20" x14ac:dyDescent="0.35">
      <c r="D3673" s="63"/>
      <c r="S3673" s="63"/>
      <c r="T3673" s="63"/>
    </row>
    <row r="3674" spans="4:20" x14ac:dyDescent="0.35">
      <c r="D3674" s="63"/>
      <c r="S3674" s="63"/>
      <c r="T3674" s="63"/>
    </row>
    <row r="3675" spans="4:20" x14ac:dyDescent="0.35">
      <c r="D3675" s="63"/>
      <c r="S3675" s="63"/>
      <c r="T3675" s="63"/>
    </row>
    <row r="3676" spans="4:20" x14ac:dyDescent="0.35">
      <c r="D3676" s="63"/>
      <c r="S3676" s="63"/>
      <c r="T3676" s="63"/>
    </row>
    <row r="3677" spans="4:20" x14ac:dyDescent="0.35">
      <c r="D3677" s="63"/>
      <c r="S3677" s="63"/>
      <c r="T3677" s="63"/>
    </row>
    <row r="3678" spans="4:20" x14ac:dyDescent="0.35">
      <c r="D3678" s="63"/>
      <c r="S3678" s="63"/>
      <c r="T3678" s="63"/>
    </row>
    <row r="3679" spans="4:20" x14ac:dyDescent="0.35">
      <c r="D3679" s="63"/>
      <c r="S3679" s="63"/>
      <c r="T3679" s="63"/>
    </row>
    <row r="3680" spans="4:20" x14ac:dyDescent="0.35">
      <c r="D3680" s="63"/>
      <c r="S3680" s="63"/>
      <c r="T3680" s="63"/>
    </row>
    <row r="3681" spans="4:20" x14ac:dyDescent="0.35">
      <c r="D3681" s="63"/>
      <c r="S3681" s="63"/>
      <c r="T3681" s="63"/>
    </row>
    <row r="3682" spans="4:20" x14ac:dyDescent="0.35">
      <c r="D3682" s="63"/>
      <c r="S3682" s="63"/>
      <c r="T3682" s="63"/>
    </row>
    <row r="3683" spans="4:20" x14ac:dyDescent="0.35">
      <c r="D3683" s="63"/>
      <c r="S3683" s="63"/>
      <c r="T3683" s="63"/>
    </row>
    <row r="3684" spans="4:20" x14ac:dyDescent="0.35">
      <c r="D3684" s="63"/>
      <c r="S3684" s="63"/>
      <c r="T3684" s="63"/>
    </row>
    <row r="3685" spans="4:20" x14ac:dyDescent="0.35">
      <c r="D3685" s="63"/>
      <c r="S3685" s="63"/>
      <c r="T3685" s="63"/>
    </row>
    <row r="3686" spans="4:20" x14ac:dyDescent="0.35">
      <c r="D3686" s="63"/>
      <c r="S3686" s="63"/>
      <c r="T3686" s="63"/>
    </row>
    <row r="3687" spans="4:20" x14ac:dyDescent="0.35">
      <c r="D3687" s="63"/>
      <c r="S3687" s="63"/>
      <c r="T3687" s="63"/>
    </row>
    <row r="3688" spans="4:20" x14ac:dyDescent="0.35">
      <c r="D3688" s="63"/>
      <c r="S3688" s="63"/>
      <c r="T3688" s="63"/>
    </row>
    <row r="3689" spans="4:20" x14ac:dyDescent="0.35">
      <c r="D3689" s="63"/>
      <c r="S3689" s="63"/>
      <c r="T3689" s="63"/>
    </row>
    <row r="3690" spans="4:20" x14ac:dyDescent="0.35">
      <c r="D3690" s="63"/>
      <c r="S3690" s="63"/>
      <c r="T3690" s="63"/>
    </row>
    <row r="3691" spans="4:20" x14ac:dyDescent="0.35">
      <c r="D3691" s="63"/>
      <c r="S3691" s="63"/>
      <c r="T3691" s="63"/>
    </row>
    <row r="3692" spans="4:20" x14ac:dyDescent="0.35">
      <c r="D3692" s="63"/>
      <c r="S3692" s="63"/>
      <c r="T3692" s="63"/>
    </row>
    <row r="3693" spans="4:20" x14ac:dyDescent="0.35">
      <c r="D3693" s="63"/>
      <c r="S3693" s="63"/>
      <c r="T3693" s="63"/>
    </row>
    <row r="3694" spans="4:20" x14ac:dyDescent="0.35">
      <c r="D3694" s="63"/>
      <c r="S3694" s="63"/>
      <c r="T3694" s="63"/>
    </row>
    <row r="3695" spans="4:20" x14ac:dyDescent="0.35">
      <c r="D3695" s="63"/>
      <c r="S3695" s="63"/>
      <c r="T3695" s="63"/>
    </row>
    <row r="3696" spans="4:20" x14ac:dyDescent="0.35">
      <c r="D3696" s="63"/>
      <c r="S3696" s="63"/>
      <c r="T3696" s="63"/>
    </row>
    <row r="3697" spans="4:20" x14ac:dyDescent="0.35">
      <c r="D3697" s="63"/>
      <c r="S3697" s="63"/>
      <c r="T3697" s="63"/>
    </row>
    <row r="3698" spans="4:20" x14ac:dyDescent="0.35">
      <c r="D3698" s="63"/>
      <c r="S3698" s="63"/>
      <c r="T3698" s="63"/>
    </row>
    <row r="3699" spans="4:20" x14ac:dyDescent="0.35">
      <c r="D3699" s="63"/>
      <c r="S3699" s="63"/>
      <c r="T3699" s="63"/>
    </row>
    <row r="3700" spans="4:20" x14ac:dyDescent="0.35">
      <c r="D3700" s="63"/>
      <c r="S3700" s="63"/>
      <c r="T3700" s="63"/>
    </row>
    <row r="3701" spans="4:20" x14ac:dyDescent="0.35">
      <c r="D3701" s="63"/>
      <c r="S3701" s="63"/>
      <c r="T3701" s="63"/>
    </row>
    <row r="3702" spans="4:20" x14ac:dyDescent="0.35">
      <c r="D3702" s="63"/>
      <c r="S3702" s="63"/>
      <c r="T3702" s="63"/>
    </row>
    <row r="3703" spans="4:20" x14ac:dyDescent="0.35">
      <c r="D3703" s="63"/>
      <c r="S3703" s="63"/>
      <c r="T3703" s="63"/>
    </row>
    <row r="3704" spans="4:20" x14ac:dyDescent="0.35">
      <c r="D3704" s="63"/>
      <c r="S3704" s="63"/>
      <c r="T3704" s="63"/>
    </row>
    <row r="3705" spans="4:20" x14ac:dyDescent="0.35">
      <c r="D3705" s="63"/>
      <c r="S3705" s="63"/>
      <c r="T3705" s="63"/>
    </row>
    <row r="3706" spans="4:20" x14ac:dyDescent="0.35">
      <c r="D3706" s="63"/>
      <c r="S3706" s="63"/>
      <c r="T3706" s="63"/>
    </row>
    <row r="3707" spans="4:20" x14ac:dyDescent="0.35">
      <c r="D3707" s="63"/>
      <c r="S3707" s="63"/>
      <c r="T3707" s="63"/>
    </row>
    <row r="3708" spans="4:20" x14ac:dyDescent="0.35">
      <c r="D3708" s="63"/>
      <c r="S3708" s="63"/>
      <c r="T3708" s="63"/>
    </row>
    <row r="3709" spans="4:20" x14ac:dyDescent="0.35">
      <c r="D3709" s="63"/>
      <c r="S3709" s="63"/>
      <c r="T3709" s="63"/>
    </row>
    <row r="3710" spans="4:20" x14ac:dyDescent="0.35">
      <c r="D3710" s="63"/>
      <c r="S3710" s="63"/>
      <c r="T3710" s="63"/>
    </row>
    <row r="3711" spans="4:20" x14ac:dyDescent="0.35">
      <c r="D3711" s="63"/>
      <c r="S3711" s="63"/>
      <c r="T3711" s="63"/>
    </row>
    <row r="3712" spans="4:20" x14ac:dyDescent="0.35">
      <c r="D3712" s="63"/>
      <c r="S3712" s="63"/>
      <c r="T3712" s="63"/>
    </row>
    <row r="3713" spans="4:20" x14ac:dyDescent="0.35">
      <c r="D3713" s="63"/>
      <c r="S3713" s="63"/>
      <c r="T3713" s="63"/>
    </row>
    <row r="3714" spans="4:20" x14ac:dyDescent="0.35">
      <c r="D3714" s="63"/>
      <c r="S3714" s="63"/>
      <c r="T3714" s="63"/>
    </row>
    <row r="3715" spans="4:20" x14ac:dyDescent="0.35">
      <c r="D3715" s="63"/>
      <c r="S3715" s="63"/>
      <c r="T3715" s="63"/>
    </row>
    <row r="3716" spans="4:20" x14ac:dyDescent="0.35">
      <c r="D3716" s="63"/>
      <c r="S3716" s="63"/>
      <c r="T3716" s="63"/>
    </row>
    <row r="3717" spans="4:20" x14ac:dyDescent="0.35">
      <c r="D3717" s="63"/>
      <c r="S3717" s="63"/>
      <c r="T3717" s="63"/>
    </row>
    <row r="3718" spans="4:20" x14ac:dyDescent="0.35">
      <c r="D3718" s="63"/>
      <c r="S3718" s="63"/>
      <c r="T3718" s="63"/>
    </row>
    <row r="3719" spans="4:20" x14ac:dyDescent="0.35">
      <c r="D3719" s="63"/>
      <c r="S3719" s="63"/>
      <c r="T3719" s="63"/>
    </row>
    <row r="3720" spans="4:20" x14ac:dyDescent="0.35">
      <c r="D3720" s="63"/>
      <c r="S3720" s="63"/>
      <c r="T3720" s="63"/>
    </row>
    <row r="3721" spans="4:20" x14ac:dyDescent="0.35">
      <c r="D3721" s="63"/>
      <c r="S3721" s="63"/>
      <c r="T3721" s="63"/>
    </row>
    <row r="3722" spans="4:20" x14ac:dyDescent="0.35">
      <c r="D3722" s="63"/>
      <c r="S3722" s="63"/>
      <c r="T3722" s="63"/>
    </row>
    <row r="3723" spans="4:20" x14ac:dyDescent="0.35">
      <c r="D3723" s="63"/>
      <c r="S3723" s="63"/>
      <c r="T3723" s="63"/>
    </row>
    <row r="3724" spans="4:20" x14ac:dyDescent="0.35">
      <c r="D3724" s="63"/>
      <c r="S3724" s="63"/>
      <c r="T3724" s="63"/>
    </row>
    <row r="3725" spans="4:20" x14ac:dyDescent="0.35">
      <c r="D3725" s="63"/>
      <c r="S3725" s="63"/>
      <c r="T3725" s="63"/>
    </row>
    <row r="3726" spans="4:20" x14ac:dyDescent="0.35">
      <c r="D3726" s="63"/>
      <c r="S3726" s="63"/>
      <c r="T3726" s="63"/>
    </row>
    <row r="3727" spans="4:20" x14ac:dyDescent="0.35">
      <c r="D3727" s="63"/>
      <c r="S3727" s="63"/>
      <c r="T3727" s="63"/>
    </row>
    <row r="3728" spans="4:20" x14ac:dyDescent="0.35">
      <c r="D3728" s="63"/>
      <c r="S3728" s="63"/>
      <c r="T3728" s="63"/>
    </row>
    <row r="3729" spans="4:20" x14ac:dyDescent="0.35">
      <c r="D3729" s="63"/>
      <c r="S3729" s="63"/>
      <c r="T3729" s="63"/>
    </row>
    <row r="3730" spans="4:20" x14ac:dyDescent="0.35">
      <c r="D3730" s="63"/>
      <c r="S3730" s="63"/>
      <c r="T3730" s="63"/>
    </row>
    <row r="3731" spans="4:20" x14ac:dyDescent="0.35">
      <c r="D3731" s="63"/>
      <c r="S3731" s="63"/>
      <c r="T3731" s="63"/>
    </row>
    <row r="3732" spans="4:20" x14ac:dyDescent="0.35">
      <c r="D3732" s="63"/>
      <c r="S3732" s="63"/>
      <c r="T3732" s="63"/>
    </row>
    <row r="3733" spans="4:20" x14ac:dyDescent="0.35">
      <c r="D3733" s="63"/>
      <c r="S3733" s="63"/>
      <c r="T3733" s="63"/>
    </row>
    <row r="3734" spans="4:20" x14ac:dyDescent="0.35">
      <c r="D3734" s="63"/>
      <c r="S3734" s="63"/>
      <c r="T3734" s="63"/>
    </row>
    <row r="3735" spans="4:20" x14ac:dyDescent="0.35">
      <c r="D3735" s="63"/>
      <c r="S3735" s="63"/>
      <c r="T3735" s="63"/>
    </row>
    <row r="3736" spans="4:20" x14ac:dyDescent="0.35">
      <c r="D3736" s="63"/>
      <c r="S3736" s="63"/>
      <c r="T3736" s="63"/>
    </row>
    <row r="3737" spans="4:20" x14ac:dyDescent="0.35">
      <c r="D3737" s="63"/>
      <c r="S3737" s="63"/>
      <c r="T3737" s="63"/>
    </row>
    <row r="3738" spans="4:20" x14ac:dyDescent="0.35">
      <c r="D3738" s="63"/>
      <c r="S3738" s="63"/>
      <c r="T3738" s="63"/>
    </row>
    <row r="3739" spans="4:20" x14ac:dyDescent="0.35">
      <c r="D3739" s="63"/>
      <c r="S3739" s="63"/>
      <c r="T3739" s="63"/>
    </row>
    <row r="3740" spans="4:20" x14ac:dyDescent="0.35">
      <c r="D3740" s="63"/>
      <c r="S3740" s="63"/>
      <c r="T3740" s="63"/>
    </row>
    <row r="3741" spans="4:20" x14ac:dyDescent="0.35">
      <c r="D3741" s="63"/>
      <c r="S3741" s="63"/>
      <c r="T3741" s="63"/>
    </row>
    <row r="3742" spans="4:20" x14ac:dyDescent="0.35">
      <c r="D3742" s="63"/>
      <c r="S3742" s="63"/>
      <c r="T3742" s="63"/>
    </row>
    <row r="3743" spans="4:20" x14ac:dyDescent="0.35">
      <c r="D3743" s="63"/>
      <c r="S3743" s="63"/>
      <c r="T3743" s="63"/>
    </row>
    <row r="3744" spans="4:20" x14ac:dyDescent="0.35">
      <c r="D3744" s="63"/>
      <c r="S3744" s="63"/>
      <c r="T3744" s="63"/>
    </row>
    <row r="3745" spans="4:20" x14ac:dyDescent="0.35">
      <c r="D3745" s="63"/>
      <c r="S3745" s="63"/>
      <c r="T3745" s="63"/>
    </row>
    <row r="3746" spans="4:20" x14ac:dyDescent="0.35">
      <c r="D3746" s="63"/>
      <c r="S3746" s="63"/>
      <c r="T3746" s="63"/>
    </row>
    <row r="3747" spans="4:20" x14ac:dyDescent="0.35">
      <c r="D3747" s="63"/>
      <c r="S3747" s="63"/>
      <c r="T3747" s="63"/>
    </row>
    <row r="3748" spans="4:20" x14ac:dyDescent="0.35">
      <c r="D3748" s="63"/>
      <c r="S3748" s="63"/>
      <c r="T3748" s="63"/>
    </row>
    <row r="3749" spans="4:20" x14ac:dyDescent="0.35">
      <c r="D3749" s="63"/>
      <c r="S3749" s="63"/>
      <c r="T3749" s="63"/>
    </row>
    <row r="3750" spans="4:20" x14ac:dyDescent="0.35">
      <c r="D3750" s="63"/>
      <c r="S3750" s="63"/>
      <c r="T3750" s="63"/>
    </row>
    <row r="3751" spans="4:20" x14ac:dyDescent="0.35">
      <c r="D3751" s="63"/>
      <c r="S3751" s="63"/>
      <c r="T3751" s="63"/>
    </row>
    <row r="3752" spans="4:20" x14ac:dyDescent="0.35">
      <c r="D3752" s="63"/>
      <c r="S3752" s="63"/>
      <c r="T3752" s="63"/>
    </row>
    <row r="3753" spans="4:20" x14ac:dyDescent="0.35">
      <c r="D3753" s="63"/>
      <c r="S3753" s="63"/>
      <c r="T3753" s="63"/>
    </row>
    <row r="3754" spans="4:20" x14ac:dyDescent="0.35">
      <c r="D3754" s="63"/>
      <c r="S3754" s="63"/>
      <c r="T3754" s="63"/>
    </row>
    <row r="3755" spans="4:20" x14ac:dyDescent="0.35">
      <c r="D3755" s="63"/>
      <c r="S3755" s="63"/>
      <c r="T3755" s="63"/>
    </row>
    <row r="3756" spans="4:20" x14ac:dyDescent="0.35">
      <c r="D3756" s="63"/>
      <c r="S3756" s="63"/>
      <c r="T3756" s="63"/>
    </row>
    <row r="3757" spans="4:20" x14ac:dyDescent="0.35">
      <c r="D3757" s="63"/>
      <c r="S3757" s="63"/>
      <c r="T3757" s="63"/>
    </row>
    <row r="3758" spans="4:20" x14ac:dyDescent="0.35">
      <c r="D3758" s="63"/>
      <c r="S3758" s="63"/>
      <c r="T3758" s="63"/>
    </row>
    <row r="3759" spans="4:20" x14ac:dyDescent="0.35">
      <c r="D3759" s="63"/>
      <c r="S3759" s="63"/>
      <c r="T3759" s="63"/>
    </row>
    <row r="3760" spans="4:20" x14ac:dyDescent="0.35">
      <c r="D3760" s="63"/>
      <c r="S3760" s="63"/>
      <c r="T3760" s="63"/>
    </row>
    <row r="3761" spans="4:20" x14ac:dyDescent="0.35">
      <c r="D3761" s="63"/>
      <c r="S3761" s="63"/>
      <c r="T3761" s="63"/>
    </row>
    <row r="3762" spans="4:20" x14ac:dyDescent="0.35">
      <c r="D3762" s="63"/>
      <c r="S3762" s="63"/>
      <c r="T3762" s="63"/>
    </row>
    <row r="3763" spans="4:20" x14ac:dyDescent="0.35">
      <c r="D3763" s="63"/>
      <c r="S3763" s="63"/>
      <c r="T3763" s="63"/>
    </row>
    <row r="3764" spans="4:20" x14ac:dyDescent="0.35">
      <c r="D3764" s="63"/>
      <c r="S3764" s="63"/>
      <c r="T3764" s="63"/>
    </row>
    <row r="3765" spans="4:20" x14ac:dyDescent="0.35">
      <c r="D3765" s="63"/>
      <c r="S3765" s="63"/>
      <c r="T3765" s="63"/>
    </row>
    <row r="3766" spans="4:20" x14ac:dyDescent="0.35">
      <c r="D3766" s="63"/>
      <c r="S3766" s="63"/>
      <c r="T3766" s="63"/>
    </row>
    <row r="3767" spans="4:20" x14ac:dyDescent="0.35">
      <c r="D3767" s="63"/>
      <c r="S3767" s="63"/>
      <c r="T3767" s="63"/>
    </row>
    <row r="3768" spans="4:20" x14ac:dyDescent="0.35">
      <c r="D3768" s="63"/>
      <c r="S3768" s="63"/>
      <c r="T3768" s="63"/>
    </row>
    <row r="3769" spans="4:20" x14ac:dyDescent="0.35">
      <c r="D3769" s="63"/>
      <c r="S3769" s="63"/>
      <c r="T3769" s="63"/>
    </row>
    <row r="3770" spans="4:20" x14ac:dyDescent="0.35">
      <c r="D3770" s="63"/>
      <c r="S3770" s="63"/>
      <c r="T3770" s="63"/>
    </row>
    <row r="3771" spans="4:20" x14ac:dyDescent="0.35">
      <c r="D3771" s="63"/>
      <c r="S3771" s="63"/>
      <c r="T3771" s="63"/>
    </row>
    <row r="3772" spans="4:20" x14ac:dyDescent="0.35">
      <c r="D3772" s="63"/>
      <c r="S3772" s="63"/>
      <c r="T3772" s="63"/>
    </row>
    <row r="3773" spans="4:20" x14ac:dyDescent="0.35">
      <c r="D3773" s="63"/>
      <c r="S3773" s="63"/>
      <c r="T3773" s="63"/>
    </row>
    <row r="3774" spans="4:20" x14ac:dyDescent="0.35">
      <c r="D3774" s="63"/>
      <c r="S3774" s="63"/>
      <c r="T3774" s="63"/>
    </row>
    <row r="3775" spans="4:20" x14ac:dyDescent="0.35">
      <c r="D3775" s="63"/>
      <c r="S3775" s="63"/>
      <c r="T3775" s="63"/>
    </row>
    <row r="3776" spans="4:20" x14ac:dyDescent="0.35">
      <c r="D3776" s="63"/>
      <c r="S3776" s="63"/>
      <c r="T3776" s="63"/>
    </row>
    <row r="3777" spans="4:20" x14ac:dyDescent="0.35">
      <c r="D3777" s="63"/>
      <c r="S3777" s="63"/>
      <c r="T3777" s="63"/>
    </row>
    <row r="3778" spans="4:20" x14ac:dyDescent="0.35">
      <c r="D3778" s="63"/>
      <c r="S3778" s="63"/>
      <c r="T3778" s="63"/>
    </row>
    <row r="3779" spans="4:20" x14ac:dyDescent="0.35">
      <c r="D3779" s="63"/>
      <c r="S3779" s="63"/>
      <c r="T3779" s="63"/>
    </row>
    <row r="3780" spans="4:20" x14ac:dyDescent="0.35">
      <c r="D3780" s="63"/>
      <c r="S3780" s="63"/>
      <c r="T3780" s="63"/>
    </row>
    <row r="3781" spans="4:20" x14ac:dyDescent="0.35">
      <c r="D3781" s="63"/>
      <c r="S3781" s="63"/>
      <c r="T3781" s="63"/>
    </row>
    <row r="3782" spans="4:20" x14ac:dyDescent="0.35">
      <c r="D3782" s="63"/>
      <c r="S3782" s="63"/>
      <c r="T3782" s="63"/>
    </row>
    <row r="3783" spans="4:20" x14ac:dyDescent="0.35">
      <c r="D3783" s="63"/>
      <c r="S3783" s="63"/>
      <c r="T3783" s="63"/>
    </row>
    <row r="3784" spans="4:20" x14ac:dyDescent="0.35">
      <c r="D3784" s="63"/>
      <c r="S3784" s="63"/>
      <c r="T3784" s="63"/>
    </row>
    <row r="3785" spans="4:20" x14ac:dyDescent="0.35">
      <c r="D3785" s="63"/>
      <c r="S3785" s="63"/>
      <c r="T3785" s="63"/>
    </row>
    <row r="3786" spans="4:20" x14ac:dyDescent="0.35">
      <c r="D3786" s="63"/>
      <c r="S3786" s="63"/>
      <c r="T3786" s="63"/>
    </row>
    <row r="3787" spans="4:20" x14ac:dyDescent="0.35">
      <c r="D3787" s="63"/>
      <c r="S3787" s="63"/>
      <c r="T3787" s="63"/>
    </row>
    <row r="3788" spans="4:20" x14ac:dyDescent="0.35">
      <c r="D3788" s="63"/>
      <c r="S3788" s="63"/>
      <c r="T3788" s="63"/>
    </row>
    <row r="3789" spans="4:20" x14ac:dyDescent="0.35">
      <c r="D3789" s="63"/>
      <c r="S3789" s="63"/>
      <c r="T3789" s="63"/>
    </row>
    <row r="3790" spans="4:20" x14ac:dyDescent="0.35">
      <c r="D3790" s="63"/>
      <c r="S3790" s="63"/>
      <c r="T3790" s="63"/>
    </row>
    <row r="3791" spans="4:20" x14ac:dyDescent="0.35">
      <c r="D3791" s="63"/>
      <c r="S3791" s="63"/>
      <c r="T3791" s="63"/>
    </row>
    <row r="3792" spans="4:20" x14ac:dyDescent="0.35">
      <c r="D3792" s="63"/>
      <c r="S3792" s="63"/>
      <c r="T3792" s="63"/>
    </row>
    <row r="3793" spans="4:20" x14ac:dyDescent="0.35">
      <c r="D3793" s="63"/>
      <c r="S3793" s="63"/>
      <c r="T3793" s="63"/>
    </row>
    <row r="3794" spans="4:20" x14ac:dyDescent="0.35">
      <c r="D3794" s="63"/>
      <c r="S3794" s="63"/>
      <c r="T3794" s="63"/>
    </row>
    <row r="3795" spans="4:20" x14ac:dyDescent="0.35">
      <c r="D3795" s="63"/>
      <c r="S3795" s="63"/>
      <c r="T3795" s="63"/>
    </row>
    <row r="3796" spans="4:20" x14ac:dyDescent="0.35">
      <c r="D3796" s="63"/>
      <c r="S3796" s="63"/>
      <c r="T3796" s="63"/>
    </row>
    <row r="3797" spans="4:20" x14ac:dyDescent="0.35">
      <c r="D3797" s="63"/>
      <c r="S3797" s="63"/>
      <c r="T3797" s="63"/>
    </row>
    <row r="3798" spans="4:20" x14ac:dyDescent="0.35">
      <c r="D3798" s="63"/>
      <c r="S3798" s="63"/>
      <c r="T3798" s="63"/>
    </row>
    <row r="3799" spans="4:20" x14ac:dyDescent="0.35">
      <c r="D3799" s="63"/>
      <c r="S3799" s="63"/>
      <c r="T3799" s="63"/>
    </row>
    <row r="3800" spans="4:20" x14ac:dyDescent="0.35">
      <c r="D3800" s="63"/>
      <c r="S3800" s="63"/>
      <c r="T3800" s="63"/>
    </row>
    <row r="3801" spans="4:20" x14ac:dyDescent="0.35">
      <c r="D3801" s="63"/>
      <c r="S3801" s="63"/>
      <c r="T3801" s="63"/>
    </row>
    <row r="3802" spans="4:20" x14ac:dyDescent="0.35">
      <c r="D3802" s="63"/>
      <c r="S3802" s="63"/>
      <c r="T3802" s="63"/>
    </row>
    <row r="3803" spans="4:20" x14ac:dyDescent="0.35">
      <c r="D3803" s="63"/>
      <c r="S3803" s="63"/>
      <c r="T3803" s="63"/>
    </row>
    <row r="3804" spans="4:20" x14ac:dyDescent="0.35">
      <c r="D3804" s="63"/>
      <c r="S3804" s="63"/>
      <c r="T3804" s="63"/>
    </row>
    <row r="3805" spans="4:20" x14ac:dyDescent="0.35">
      <c r="D3805" s="63"/>
      <c r="S3805" s="63"/>
      <c r="T3805" s="63"/>
    </row>
    <row r="3806" spans="4:20" x14ac:dyDescent="0.35">
      <c r="D3806" s="63"/>
      <c r="S3806" s="63"/>
      <c r="T3806" s="63"/>
    </row>
    <row r="3807" spans="4:20" x14ac:dyDescent="0.35">
      <c r="D3807" s="63"/>
      <c r="S3807" s="63"/>
      <c r="T3807" s="63"/>
    </row>
    <row r="3808" spans="4:20" x14ac:dyDescent="0.35">
      <c r="D3808" s="63"/>
      <c r="S3808" s="63"/>
      <c r="T3808" s="63"/>
    </row>
    <row r="3809" spans="4:20" x14ac:dyDescent="0.35">
      <c r="D3809" s="63"/>
      <c r="S3809" s="63"/>
      <c r="T3809" s="63"/>
    </row>
    <row r="3810" spans="4:20" x14ac:dyDescent="0.35">
      <c r="D3810" s="63"/>
      <c r="S3810" s="63"/>
      <c r="T3810" s="63"/>
    </row>
    <row r="3811" spans="4:20" x14ac:dyDescent="0.35">
      <c r="D3811" s="63"/>
      <c r="S3811" s="63"/>
      <c r="T3811" s="63"/>
    </row>
    <row r="3812" spans="4:20" x14ac:dyDescent="0.35">
      <c r="D3812" s="63"/>
      <c r="S3812" s="63"/>
      <c r="T3812" s="63"/>
    </row>
    <row r="3813" spans="4:20" x14ac:dyDescent="0.35">
      <c r="D3813" s="63"/>
      <c r="S3813" s="63"/>
      <c r="T3813" s="63"/>
    </row>
    <row r="3814" spans="4:20" x14ac:dyDescent="0.35">
      <c r="D3814" s="63"/>
      <c r="S3814" s="63"/>
      <c r="T3814" s="63"/>
    </row>
    <row r="3815" spans="4:20" x14ac:dyDescent="0.35">
      <c r="D3815" s="63"/>
      <c r="S3815" s="63"/>
      <c r="T3815" s="63"/>
    </row>
    <row r="3816" spans="4:20" x14ac:dyDescent="0.35">
      <c r="D3816" s="63"/>
      <c r="S3816" s="63"/>
      <c r="T3816" s="63"/>
    </row>
    <row r="3817" spans="4:20" x14ac:dyDescent="0.35">
      <c r="D3817" s="63"/>
      <c r="S3817" s="63"/>
      <c r="T3817" s="63"/>
    </row>
    <row r="3818" spans="4:20" x14ac:dyDescent="0.35">
      <c r="D3818" s="63"/>
      <c r="S3818" s="63"/>
      <c r="T3818" s="63"/>
    </row>
    <row r="3819" spans="4:20" x14ac:dyDescent="0.35">
      <c r="D3819" s="63"/>
      <c r="S3819" s="63"/>
      <c r="T3819" s="63"/>
    </row>
    <row r="3820" spans="4:20" x14ac:dyDescent="0.35">
      <c r="D3820" s="63"/>
      <c r="S3820" s="63"/>
      <c r="T3820" s="63"/>
    </row>
    <row r="3821" spans="4:20" x14ac:dyDescent="0.35">
      <c r="D3821" s="63"/>
      <c r="S3821" s="63"/>
      <c r="T3821" s="63"/>
    </row>
    <row r="3822" spans="4:20" x14ac:dyDescent="0.35">
      <c r="D3822" s="63"/>
      <c r="S3822" s="63"/>
      <c r="T3822" s="63"/>
    </row>
    <row r="3823" spans="4:20" x14ac:dyDescent="0.35">
      <c r="D3823" s="63"/>
      <c r="S3823" s="63"/>
      <c r="T3823" s="63"/>
    </row>
    <row r="3824" spans="4:20" x14ac:dyDescent="0.35">
      <c r="D3824" s="63"/>
      <c r="S3824" s="63"/>
      <c r="T3824" s="63"/>
    </row>
    <row r="3825" spans="4:20" x14ac:dyDescent="0.35">
      <c r="D3825" s="63"/>
      <c r="S3825" s="63"/>
      <c r="T3825" s="63"/>
    </row>
    <row r="3826" spans="4:20" x14ac:dyDescent="0.35">
      <c r="D3826" s="63"/>
      <c r="S3826" s="63"/>
      <c r="T3826" s="63"/>
    </row>
    <row r="3827" spans="4:20" x14ac:dyDescent="0.35">
      <c r="D3827" s="63"/>
      <c r="S3827" s="63"/>
      <c r="T3827" s="63"/>
    </row>
    <row r="3828" spans="4:20" x14ac:dyDescent="0.35">
      <c r="D3828" s="63"/>
      <c r="S3828" s="63"/>
      <c r="T3828" s="63"/>
    </row>
    <row r="3829" spans="4:20" x14ac:dyDescent="0.35">
      <c r="D3829" s="63"/>
      <c r="S3829" s="63"/>
      <c r="T3829" s="63"/>
    </row>
    <row r="3830" spans="4:20" x14ac:dyDescent="0.35">
      <c r="D3830" s="63"/>
      <c r="S3830" s="63"/>
      <c r="T3830" s="63"/>
    </row>
    <row r="3831" spans="4:20" x14ac:dyDescent="0.35">
      <c r="D3831" s="63"/>
      <c r="S3831" s="63"/>
      <c r="T3831" s="63"/>
    </row>
    <row r="3832" spans="4:20" x14ac:dyDescent="0.35">
      <c r="D3832" s="63"/>
      <c r="S3832" s="63"/>
      <c r="T3832" s="63"/>
    </row>
    <row r="3833" spans="4:20" x14ac:dyDescent="0.35">
      <c r="D3833" s="63"/>
      <c r="S3833" s="63"/>
      <c r="T3833" s="63"/>
    </row>
    <row r="3834" spans="4:20" x14ac:dyDescent="0.35">
      <c r="D3834" s="63"/>
      <c r="S3834" s="63"/>
      <c r="T3834" s="63"/>
    </row>
    <row r="3835" spans="4:20" x14ac:dyDescent="0.35">
      <c r="D3835" s="63"/>
      <c r="S3835" s="63"/>
      <c r="T3835" s="63"/>
    </row>
    <row r="3836" spans="4:20" x14ac:dyDescent="0.35">
      <c r="D3836" s="63"/>
      <c r="S3836" s="63"/>
      <c r="T3836" s="63"/>
    </row>
    <row r="3837" spans="4:20" x14ac:dyDescent="0.35">
      <c r="D3837" s="63"/>
      <c r="S3837" s="63"/>
      <c r="T3837" s="63"/>
    </row>
    <row r="3838" spans="4:20" x14ac:dyDescent="0.35">
      <c r="D3838" s="63"/>
      <c r="S3838" s="63"/>
      <c r="T3838" s="63"/>
    </row>
    <row r="3839" spans="4:20" x14ac:dyDescent="0.35">
      <c r="D3839" s="63"/>
      <c r="S3839" s="63"/>
      <c r="T3839" s="63"/>
    </row>
    <row r="3840" spans="4:20" x14ac:dyDescent="0.35">
      <c r="D3840" s="63"/>
      <c r="S3840" s="63"/>
      <c r="T3840" s="63"/>
    </row>
    <row r="3841" spans="4:20" x14ac:dyDescent="0.35">
      <c r="D3841" s="63"/>
      <c r="S3841" s="63"/>
      <c r="T3841" s="63"/>
    </row>
    <row r="3842" spans="4:20" x14ac:dyDescent="0.35">
      <c r="D3842" s="63"/>
      <c r="S3842" s="63"/>
      <c r="T3842" s="63"/>
    </row>
    <row r="3843" spans="4:20" x14ac:dyDescent="0.35">
      <c r="D3843" s="63"/>
      <c r="S3843" s="63"/>
      <c r="T3843" s="63"/>
    </row>
    <row r="3844" spans="4:20" x14ac:dyDescent="0.35">
      <c r="D3844" s="63"/>
      <c r="S3844" s="63"/>
      <c r="T3844" s="63"/>
    </row>
    <row r="3845" spans="4:20" x14ac:dyDescent="0.35">
      <c r="D3845" s="63"/>
      <c r="S3845" s="63"/>
      <c r="T3845" s="63"/>
    </row>
    <row r="3846" spans="4:20" x14ac:dyDescent="0.35">
      <c r="D3846" s="63"/>
      <c r="S3846" s="63"/>
      <c r="T3846" s="63"/>
    </row>
    <row r="3847" spans="4:20" x14ac:dyDescent="0.35">
      <c r="D3847" s="63"/>
      <c r="S3847" s="63"/>
      <c r="T3847" s="63"/>
    </row>
    <row r="3848" spans="4:20" x14ac:dyDescent="0.35">
      <c r="D3848" s="63"/>
      <c r="S3848" s="63"/>
      <c r="T3848" s="63"/>
    </row>
    <row r="3849" spans="4:20" x14ac:dyDescent="0.35">
      <c r="D3849" s="63"/>
      <c r="S3849" s="63"/>
      <c r="T3849" s="63"/>
    </row>
    <row r="3850" spans="4:20" x14ac:dyDescent="0.35">
      <c r="D3850" s="63"/>
      <c r="S3850" s="63"/>
      <c r="T3850" s="63"/>
    </row>
    <row r="3851" spans="4:20" x14ac:dyDescent="0.35">
      <c r="D3851" s="63"/>
      <c r="S3851" s="63"/>
      <c r="T3851" s="63"/>
    </row>
    <row r="3852" spans="4:20" x14ac:dyDescent="0.35">
      <c r="D3852" s="63"/>
      <c r="S3852" s="63"/>
      <c r="T3852" s="63"/>
    </row>
    <row r="3853" spans="4:20" x14ac:dyDescent="0.35">
      <c r="D3853" s="63"/>
      <c r="S3853" s="63"/>
      <c r="T3853" s="63"/>
    </row>
    <row r="3854" spans="4:20" x14ac:dyDescent="0.35">
      <c r="D3854" s="63"/>
      <c r="S3854" s="63"/>
      <c r="T3854" s="63"/>
    </row>
    <row r="3855" spans="4:20" x14ac:dyDescent="0.35">
      <c r="D3855" s="63"/>
      <c r="S3855" s="63"/>
      <c r="T3855" s="63"/>
    </row>
    <row r="3856" spans="4:20" x14ac:dyDescent="0.35">
      <c r="D3856" s="63"/>
      <c r="S3856" s="63"/>
      <c r="T3856" s="63"/>
    </row>
    <row r="3857" spans="4:20" x14ac:dyDescent="0.35">
      <c r="D3857" s="63"/>
      <c r="S3857" s="63"/>
      <c r="T3857" s="63"/>
    </row>
    <row r="3858" spans="4:20" x14ac:dyDescent="0.35">
      <c r="D3858" s="63"/>
      <c r="S3858" s="63"/>
      <c r="T3858" s="63"/>
    </row>
    <row r="3859" spans="4:20" x14ac:dyDescent="0.35">
      <c r="D3859" s="63"/>
      <c r="S3859" s="63"/>
      <c r="T3859" s="63"/>
    </row>
    <row r="3860" spans="4:20" x14ac:dyDescent="0.35">
      <c r="D3860" s="63"/>
      <c r="S3860" s="63"/>
      <c r="T3860" s="63"/>
    </row>
    <row r="3861" spans="4:20" x14ac:dyDescent="0.35">
      <c r="D3861" s="63"/>
      <c r="S3861" s="63"/>
      <c r="T3861" s="63"/>
    </row>
    <row r="3862" spans="4:20" x14ac:dyDescent="0.35">
      <c r="D3862" s="63"/>
      <c r="S3862" s="63"/>
      <c r="T3862" s="63"/>
    </row>
    <row r="3863" spans="4:20" x14ac:dyDescent="0.35">
      <c r="D3863" s="63"/>
      <c r="S3863" s="63"/>
      <c r="T3863" s="63"/>
    </row>
    <row r="3864" spans="4:20" x14ac:dyDescent="0.35">
      <c r="D3864" s="63"/>
      <c r="S3864" s="63"/>
      <c r="T3864" s="63"/>
    </row>
    <row r="3865" spans="4:20" x14ac:dyDescent="0.35">
      <c r="D3865" s="63"/>
      <c r="S3865" s="63"/>
      <c r="T3865" s="63"/>
    </row>
  </sheetData>
  <sortState xmlns:xlrd2="http://schemas.microsoft.com/office/spreadsheetml/2017/richdata2" ref="A2:U1681">
    <sortCondition ref="I2:I1681"/>
    <sortCondition ref="F2:F168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87d1418-e040-4165-981e-dcef95d921bc" xsi:nil="true"/>
    <lcf76f155ced4ddcb4097134ff3c332f xmlns="e3c89e83-2ea8-47e9-a01b-f4f00f1b3ea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73FFAC48207C41A83A9A0F6AE75E07" ma:contentTypeVersion="18" ma:contentTypeDescription="Create a new document." ma:contentTypeScope="" ma:versionID="50faf7ee6059d00a9d71cdba6afe819e">
  <xsd:schema xmlns:xsd="http://www.w3.org/2001/XMLSchema" xmlns:xs="http://www.w3.org/2001/XMLSchema" xmlns:p="http://schemas.microsoft.com/office/2006/metadata/properties" xmlns:ns2="e3c89e83-2ea8-47e9-a01b-f4f00f1b3ea9" xmlns:ns3="387d1418-e040-4165-981e-dcef95d921bc" targetNamespace="http://schemas.microsoft.com/office/2006/metadata/properties" ma:root="true" ma:fieldsID="5c000fa5af48aa9dd7de863fea51ed56" ns2:_="" ns3:_="">
    <xsd:import namespace="e3c89e83-2ea8-47e9-a01b-f4f00f1b3ea9"/>
    <xsd:import namespace="387d1418-e040-4165-981e-dcef95d921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89e83-2ea8-47e9-a01b-f4f00f1b3e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c9ebaef-8427-4ddc-9027-9c9441de487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1418-e040-4165-981e-dcef95d921b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55cb246-6949-425e-bb22-a0ed5c093909}" ma:internalName="TaxCatchAll" ma:showField="CatchAllData" ma:web="387d1418-e040-4165-981e-dcef95d921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5A6C85-8B12-4B2E-B2A5-FFF367F9B016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387d1418-e040-4165-981e-dcef95d921bc"/>
    <ds:schemaRef ds:uri="e3c89e83-2ea8-47e9-a01b-f4f00f1b3ea9"/>
  </ds:schemaRefs>
</ds:datastoreItem>
</file>

<file path=customXml/itemProps2.xml><?xml version="1.0" encoding="utf-8"?>
<ds:datastoreItem xmlns:ds="http://schemas.openxmlformats.org/officeDocument/2006/customXml" ds:itemID="{E5705034-043C-46DB-A47C-FC32AA3849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89e83-2ea8-47e9-a01b-f4f00f1b3ea9"/>
    <ds:schemaRef ds:uri="387d1418-e040-4165-981e-dcef95d921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05B1AC7-5E48-4EDB-8511-6815DED3DC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Winco DSD</vt:lpstr>
      <vt:lpstr>REMOVE IN FINAL SHARE-OUT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Wang, Qiaowei</dc:creator>
  <cp:keywords/>
  <dc:description/>
  <cp:lastModifiedBy>Wang, Qiaowei</cp:lastModifiedBy>
  <cp:revision/>
  <dcterms:created xsi:type="dcterms:W3CDTF">2025-02-24T22:29:11Z</dcterms:created>
  <dcterms:modified xsi:type="dcterms:W3CDTF">2025-12-26T19:58:54Z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0x0101004473FFAC48207C41A83A9A0F6AE75E07</vt:lpwstr>
  </property>
  <property fmtid="{D5CDD505-2E9C-101B-9397-08002B2CF9AE}" pid="3" name="MediaServiceImageTags">
    <vt:lpwstr/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SV_HIDDEN_GRID_QUERY_LIST_4F35BF76-6C0D-4D9B-82B2-816C12CF3733">
    <vt:lpwstr>empty_477D106A-C0D6-4607-AEBD-E2C9D60EA279</vt:lpwstr>
  </property>
</Properties>
</file>